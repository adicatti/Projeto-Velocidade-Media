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ca\Documents\Dicatti\IA\"/>
    </mc:Choice>
  </mc:AlternateContent>
  <xr:revisionPtr revIDLastSave="0" documentId="8_{7B1E7489-03FD-498A-A262-AD1B73436D66}" xr6:coauthVersionLast="47" xr6:coauthVersionMax="47" xr10:uidLastSave="{00000000-0000-0000-0000-000000000000}"/>
  <bookViews>
    <workbookView xWindow="-108" yWindow="-108" windowWidth="23256" windowHeight="13896" xr2:uid="{8206E1F3-89EF-40FE-8CEE-AC20E89A1098}"/>
  </bookViews>
  <sheets>
    <sheet name="Premissas" sheetId="1" r:id="rId1"/>
    <sheet name="Viabilidad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6" i="3" l="1"/>
  <c r="I46" i="3"/>
  <c r="H46" i="3"/>
  <c r="G46" i="3"/>
  <c r="F46" i="3"/>
  <c r="E46" i="3"/>
  <c r="F47" i="3"/>
  <c r="G47" i="3"/>
  <c r="H47" i="3"/>
  <c r="I47" i="3"/>
  <c r="J47" i="3"/>
  <c r="F48" i="3"/>
  <c r="G48" i="3"/>
  <c r="H48" i="3"/>
  <c r="I48" i="3"/>
  <c r="J48" i="3"/>
  <c r="F49" i="3"/>
  <c r="G49" i="3"/>
  <c r="H49" i="3"/>
  <c r="I49" i="3"/>
  <c r="J49" i="3"/>
  <c r="E49" i="3"/>
  <c r="E48" i="3"/>
  <c r="E47" i="3"/>
  <c r="F42" i="3"/>
  <c r="G42" i="3"/>
  <c r="H42" i="3"/>
  <c r="I42" i="3"/>
  <c r="J42" i="3"/>
  <c r="F43" i="3"/>
  <c r="G43" i="3"/>
  <c r="H43" i="3"/>
  <c r="I43" i="3"/>
  <c r="J43" i="3"/>
  <c r="F44" i="3"/>
  <c r="G44" i="3"/>
  <c r="H44" i="3"/>
  <c r="I44" i="3"/>
  <c r="J44" i="3"/>
  <c r="E44" i="3"/>
  <c r="E43" i="3"/>
  <c r="E42" i="3"/>
  <c r="J41" i="3"/>
  <c r="I41" i="3"/>
  <c r="H41" i="3"/>
  <c r="G41" i="3"/>
  <c r="F41" i="3"/>
  <c r="E41" i="3"/>
  <c r="J25" i="3"/>
  <c r="I25" i="3"/>
  <c r="H25" i="3"/>
  <c r="G25" i="3"/>
  <c r="F25" i="3"/>
  <c r="G37" i="3" s="1"/>
  <c r="E17" i="3"/>
  <c r="E10" i="3"/>
  <c r="E21" i="3" s="1"/>
  <c r="D9" i="3"/>
  <c r="J9" i="3" s="1"/>
  <c r="J10" i="3" s="1"/>
  <c r="J16" i="3"/>
  <c r="J17" i="3" s="1"/>
  <c r="I16" i="3"/>
  <c r="I17" i="3" s="1"/>
  <c r="H16" i="3"/>
  <c r="H17" i="3" s="1"/>
  <c r="G16" i="3"/>
  <c r="G17" i="3" s="1"/>
  <c r="F16" i="3"/>
  <c r="F17" i="3" s="1"/>
  <c r="D8" i="3"/>
  <c r="F8" i="3" s="1"/>
  <c r="D7" i="3"/>
  <c r="F7" i="3" s="1"/>
  <c r="D6" i="3"/>
  <c r="F6" i="3" s="1"/>
  <c r="J21" i="3" l="1"/>
  <c r="E11" i="3"/>
  <c r="J18" i="3"/>
  <c r="F18" i="3"/>
  <c r="E18" i="3"/>
  <c r="G18" i="3"/>
  <c r="H18" i="3"/>
  <c r="I18" i="3"/>
  <c r="F9" i="3"/>
  <c r="F10" i="3" s="1"/>
  <c r="F21" i="3" s="1"/>
  <c r="H9" i="3"/>
  <c r="H10" i="3" s="1"/>
  <c r="H21" i="3" s="1"/>
  <c r="G9" i="3"/>
  <c r="G10" i="3" s="1"/>
  <c r="G21" i="3" s="1"/>
  <c r="I9" i="3"/>
  <c r="I10" i="3" s="1"/>
  <c r="I21" i="3" s="1"/>
  <c r="F28" i="3" l="1"/>
  <c r="E22" i="3"/>
  <c r="F29" i="3"/>
  <c r="I11" i="3"/>
  <c r="I22" i="3" s="1"/>
  <c r="J11" i="3"/>
  <c r="J22" i="3" s="1"/>
  <c r="H11" i="3"/>
  <c r="H22" i="3" s="1"/>
  <c r="F11" i="3"/>
  <c r="F22" i="3" s="1"/>
  <c r="F23" i="3" s="1"/>
  <c r="G11" i="3"/>
  <c r="G22" i="3" s="1"/>
  <c r="G23" i="3" s="1"/>
  <c r="H23" i="3" l="1"/>
  <c r="I23" i="3"/>
  <c r="J23" i="3"/>
  <c r="F37" i="3"/>
  <c r="F30" i="3" s="1"/>
  <c r="W36" i="1" l="1"/>
  <c r="V31" i="1"/>
  <c r="W31" i="1"/>
  <c r="W29" i="1"/>
  <c r="W35" i="1"/>
  <c r="W30" i="1"/>
  <c r="T33" i="1" l="1"/>
  <c r="V30" i="1"/>
  <c r="U30" i="1"/>
  <c r="T30" i="1"/>
  <c r="Y29" i="1" l="1"/>
  <c r="X29" i="1"/>
  <c r="V29" i="1"/>
  <c r="U29" i="1"/>
  <c r="U34" i="1" s="1"/>
  <c r="T29" i="1"/>
  <c r="T34" i="1" s="1"/>
  <c r="X26" i="1"/>
  <c r="Y26" i="1" s="1"/>
  <c r="X25" i="1"/>
  <c r="Y25" i="1" s="1"/>
  <c r="X24" i="1"/>
  <c r="Y24" i="1" s="1"/>
  <c r="X23" i="1"/>
  <c r="Y23" i="1" s="1"/>
  <c r="X22" i="1"/>
  <c r="Y22" i="1" s="1"/>
  <c r="X21" i="1"/>
  <c r="Y21" i="1" s="1"/>
  <c r="X20" i="1"/>
  <c r="Y20" i="1" s="1"/>
  <c r="X19" i="1"/>
  <c r="Y19" i="1" s="1"/>
  <c r="X18" i="1"/>
  <c r="Y18" i="1" s="1"/>
  <c r="X17" i="1"/>
  <c r="Y17" i="1" s="1"/>
  <c r="X16" i="1"/>
  <c r="Y16" i="1" s="1"/>
  <c r="X15" i="1"/>
  <c r="Y15" i="1" s="1"/>
  <c r="X14" i="1"/>
  <c r="Y14" i="1" s="1"/>
  <c r="X13" i="1"/>
  <c r="Y13" i="1" s="1"/>
  <c r="X12" i="1"/>
  <c r="Y12" i="1" s="1"/>
  <c r="X11" i="1"/>
  <c r="Y11" i="1" s="1"/>
  <c r="X10" i="1"/>
  <c r="X9" i="1"/>
  <c r="Y9" i="1" s="1"/>
  <c r="X8" i="1"/>
  <c r="Y8" i="1" s="1"/>
  <c r="X7" i="1"/>
  <c r="Y7" i="1" s="1"/>
  <c r="X6" i="1"/>
  <c r="Y6" i="1" s="1"/>
  <c r="X5" i="1"/>
  <c r="Y5" i="1" s="1"/>
  <c r="F13" i="1"/>
  <c r="F14" i="1" s="1"/>
  <c r="I48" i="1"/>
  <c r="I47" i="1"/>
  <c r="I45" i="1"/>
  <c r="I46" i="1"/>
  <c r="I30" i="1"/>
  <c r="I29" i="1"/>
  <c r="I28" i="1"/>
  <c r="I26" i="1"/>
  <c r="I25" i="1"/>
  <c r="I22" i="1"/>
  <c r="I21" i="1"/>
  <c r="I20" i="1"/>
  <c r="I19" i="1"/>
  <c r="D52" i="1"/>
  <c r="F52" i="1" s="1"/>
  <c r="D51" i="1"/>
  <c r="F51" i="1" s="1"/>
  <c r="D48" i="1"/>
  <c r="D50" i="1" s="1"/>
  <c r="F50" i="1" s="1"/>
  <c r="D24" i="1"/>
  <c r="F24" i="1" s="1"/>
  <c r="D33" i="1"/>
  <c r="F33" i="1" s="1"/>
  <c r="G33" i="1" s="1"/>
  <c r="I33" i="1" s="1"/>
  <c r="D32" i="1"/>
  <c r="F32" i="1" s="1"/>
  <c r="H32" i="1" s="1"/>
  <c r="I32" i="1" s="1"/>
  <c r="D29" i="1"/>
  <c r="D31" i="1" s="1"/>
  <c r="F31" i="1" s="1"/>
  <c r="H31" i="1" s="1"/>
  <c r="D27" i="1"/>
  <c r="F27" i="1" s="1"/>
  <c r="G27" i="1" s="1"/>
  <c r="I27" i="1" s="1"/>
  <c r="Y10" i="1" l="1"/>
  <c r="Y30" i="1" s="1"/>
  <c r="X30" i="1"/>
  <c r="X35" i="1" s="1"/>
  <c r="AA21" i="1"/>
  <c r="AA13" i="1"/>
  <c r="AA6" i="1"/>
  <c r="AA14" i="1"/>
  <c r="AA22" i="1"/>
  <c r="AA7" i="1"/>
  <c r="AA15" i="1"/>
  <c r="AA23" i="1"/>
  <c r="AA8" i="1"/>
  <c r="AA16" i="1"/>
  <c r="AA24" i="1"/>
  <c r="AA9" i="1"/>
  <c r="AA17" i="1"/>
  <c r="AA25" i="1"/>
  <c r="AA10" i="1"/>
  <c r="AA18" i="1"/>
  <c r="AA26" i="1"/>
  <c r="AA11" i="1"/>
  <c r="AA19" i="1"/>
  <c r="AA12" i="1"/>
  <c r="AA20" i="1"/>
  <c r="Z10" i="1"/>
  <c r="Z11" i="1"/>
  <c r="Z12" i="1"/>
  <c r="Z18" i="1"/>
  <c r="Z19" i="1"/>
  <c r="Z20" i="1"/>
  <c r="Z26" i="1"/>
  <c r="Z13" i="1"/>
  <c r="Z6" i="1"/>
  <c r="Z14" i="1"/>
  <c r="Z22" i="1"/>
  <c r="Z7" i="1"/>
  <c r="Z15" i="1"/>
  <c r="Z23" i="1"/>
  <c r="Z21" i="1"/>
  <c r="V35" i="1"/>
  <c r="Z8" i="1"/>
  <c r="Z16" i="1"/>
  <c r="Z24" i="1"/>
  <c r="Z9" i="1"/>
  <c r="Z17" i="1"/>
  <c r="Z25" i="1"/>
  <c r="Y35" i="1"/>
  <c r="U35" i="1"/>
  <c r="T35" i="1"/>
  <c r="G50" i="1"/>
  <c r="I50" i="1" s="1"/>
  <c r="G52" i="1"/>
  <c r="I52" i="1" s="1"/>
  <c r="H34" i="1"/>
  <c r="I31" i="1"/>
  <c r="G24" i="1"/>
  <c r="I24" i="1" s="1"/>
  <c r="D49" i="1"/>
  <c r="F49" i="1" l="1"/>
  <c r="F53" i="1" s="1"/>
  <c r="G49" i="1"/>
  <c r="G53" i="1" l="1"/>
  <c r="I49" i="1"/>
  <c r="D23" i="1" l="1"/>
  <c r="P34" i="1"/>
  <c r="N16" i="1"/>
  <c r="N9" i="1"/>
  <c r="G11" i="1"/>
  <c r="G14" i="1" s="1"/>
  <c r="H11" i="1"/>
  <c r="H14" i="1" s="1"/>
  <c r="P4" i="1"/>
  <c r="P5" i="1" s="1"/>
  <c r="P6" i="1" s="1"/>
  <c r="C5" i="1"/>
  <c r="P35" i="1" s="1"/>
  <c r="C14" i="1"/>
  <c r="C7" i="1"/>
  <c r="C9" i="1" s="1"/>
  <c r="I14" i="1" l="1"/>
  <c r="H13" i="1"/>
  <c r="H15" i="1" s="1"/>
  <c r="N17" i="1" s="1"/>
  <c r="P18" i="1" s="1"/>
  <c r="F23" i="1"/>
  <c r="F34" i="1" s="1"/>
  <c r="F55" i="1" s="1"/>
  <c r="G23" i="1"/>
  <c r="G13" i="1"/>
  <c r="E14" i="1"/>
  <c r="D13" i="1"/>
  <c r="G15" i="1" l="1"/>
  <c r="N10" i="1" s="1"/>
  <c r="P11" i="1" s="1"/>
  <c r="P24" i="1" s="1"/>
  <c r="N27" i="1" s="1"/>
  <c r="N28" i="1" s="1"/>
  <c r="I13" i="1"/>
  <c r="I15" i="1" s="1"/>
  <c r="G34" i="1"/>
  <c r="I23" i="1"/>
  <c r="N29" i="1" l="1"/>
  <c r="I34" i="1"/>
  <c r="G41" i="1" l="1"/>
  <c r="T4" i="1"/>
  <c r="N30" i="1"/>
  <c r="G36" i="1" s="1"/>
  <c r="P36" i="1"/>
  <c r="P37" i="1" s="1"/>
  <c r="P38" i="1" s="1"/>
  <c r="P39" i="1" s="1"/>
  <c r="P40" i="1" l="1"/>
  <c r="D45" i="1" s="1"/>
  <c r="H51" i="1" s="1"/>
  <c r="H53" i="1" s="1"/>
  <c r="U4" i="1"/>
  <c r="G60" i="1"/>
  <c r="I38" i="1"/>
  <c r="H38" i="1"/>
  <c r="H64" i="1" s="1"/>
  <c r="G38" i="1"/>
  <c r="G55" i="1" l="1"/>
  <c r="G57" i="1" s="1"/>
  <c r="G65" i="1" s="1"/>
  <c r="I51" i="1"/>
  <c r="G39" i="1"/>
  <c r="G64" i="1"/>
  <c r="I53" i="1"/>
  <c r="H41" i="1"/>
  <c r="I41" i="1" s="1"/>
  <c r="H39" i="1"/>
  <c r="I57" i="1" l="1"/>
  <c r="G58" i="1" s="1"/>
  <c r="H57" i="1"/>
  <c r="H60" i="1" s="1"/>
  <c r="I60" i="1" s="1"/>
  <c r="G66" i="1"/>
  <c r="W4" i="1" s="1"/>
  <c r="I64" i="1"/>
  <c r="H65" i="1" l="1"/>
  <c r="H66" i="1" s="1"/>
  <c r="H58" i="1"/>
  <c r="I65" i="1" l="1"/>
  <c r="I66" i="1" s="1"/>
  <c r="V4" i="1" s="1"/>
</calcChain>
</file>

<file path=xl/sharedStrings.xml><?xml version="1.0" encoding="utf-8"?>
<sst xmlns="http://schemas.openxmlformats.org/spreadsheetml/2006/main" count="214" uniqueCount="127">
  <si>
    <t>Moagem Safra</t>
  </si>
  <si>
    <t>Densidade de Carga</t>
  </si>
  <si>
    <t>Viagens/Safra</t>
  </si>
  <si>
    <t>Raio Médio</t>
  </si>
  <si>
    <t>Km Rodar Safra</t>
  </si>
  <si>
    <t>% Asfato</t>
  </si>
  <si>
    <t>% Terra</t>
  </si>
  <si>
    <t>Km Asfalto</t>
  </si>
  <si>
    <t>Km Terra</t>
  </si>
  <si>
    <t>Km/h</t>
  </si>
  <si>
    <t>Dias Efetivos</t>
  </si>
  <si>
    <t>Moagem Diária</t>
  </si>
  <si>
    <t>Dimensionamento</t>
  </si>
  <si>
    <t xml:space="preserve">Disponibilidade Mecânica </t>
  </si>
  <si>
    <t>(%)</t>
  </si>
  <si>
    <t>(min)</t>
  </si>
  <si>
    <t>Troca de Turno</t>
  </si>
  <si>
    <t>Abastecimento</t>
  </si>
  <si>
    <t>Saldo (min)</t>
  </si>
  <si>
    <t>Deslocamento Vazio</t>
  </si>
  <si>
    <t>Distância</t>
  </si>
  <si>
    <t>(km)</t>
  </si>
  <si>
    <t>Velocidade</t>
  </si>
  <si>
    <t>(Km/h)</t>
  </si>
  <si>
    <t>Tempo</t>
  </si>
  <si>
    <t>Bate e Volta Campo</t>
  </si>
  <si>
    <t>Vazio</t>
  </si>
  <si>
    <t>Carregado</t>
  </si>
  <si>
    <t>Deslocamento Carregado</t>
  </si>
  <si>
    <t>Pesagem</t>
  </si>
  <si>
    <t>Bate e Volta Usina</t>
  </si>
  <si>
    <t>Tempo de Viagem</t>
  </si>
  <si>
    <t>(n)</t>
  </si>
  <si>
    <t>Potencial de Ciclos/dia</t>
  </si>
  <si>
    <t>Potencial diário</t>
  </si>
  <si>
    <t>(ton)</t>
  </si>
  <si>
    <t>Caminhões</t>
  </si>
  <si>
    <t>Carretas</t>
  </si>
  <si>
    <t>Frentes</t>
  </si>
  <si>
    <t>Conjuntos Reservas/frente</t>
  </si>
  <si>
    <t>(cjtos)</t>
  </si>
  <si>
    <t>Estoque Usina</t>
  </si>
  <si>
    <t>(h moagem)</t>
  </si>
  <si>
    <t>Engatados</t>
  </si>
  <si>
    <t>Total Efetivo</t>
  </si>
  <si>
    <t>Manutenção</t>
  </si>
  <si>
    <t>Total Geral</t>
  </si>
  <si>
    <t>Valor Residual</t>
  </si>
  <si>
    <t>Aquisição</t>
  </si>
  <si>
    <t>Depreciação</t>
  </si>
  <si>
    <t>Uso</t>
  </si>
  <si>
    <t>(Safra)</t>
  </si>
  <si>
    <t>(R$)</t>
  </si>
  <si>
    <t>R$/Km</t>
  </si>
  <si>
    <t>Indicador</t>
  </si>
  <si>
    <t>(cjto/c)</t>
  </si>
  <si>
    <t>Remuneração de Capital</t>
  </si>
  <si>
    <t>Colaborador</t>
  </si>
  <si>
    <t>(R$/colab/mês)</t>
  </si>
  <si>
    <t>Combustível</t>
  </si>
  <si>
    <t>(Km/L)</t>
  </si>
  <si>
    <t>(Litros)</t>
  </si>
  <si>
    <t>(R$/L)</t>
  </si>
  <si>
    <t>Taxas e Seguro</t>
  </si>
  <si>
    <t>Custo Cavalo</t>
  </si>
  <si>
    <t>Custo Conjunto Canavieiro</t>
  </si>
  <si>
    <t>Custo do Km do Conjunto</t>
  </si>
  <si>
    <t>R$/Safra</t>
  </si>
  <si>
    <t>Fixo</t>
  </si>
  <si>
    <t>Variável</t>
  </si>
  <si>
    <t>(Ton/safra)</t>
  </si>
  <si>
    <t>Total</t>
  </si>
  <si>
    <t>Safra</t>
  </si>
  <si>
    <t>Toneladas Cam/Safra</t>
  </si>
  <si>
    <t>R$/Ton Fixo</t>
  </si>
  <si>
    <t>R$/Ton Var.</t>
  </si>
  <si>
    <t>R$/ Ton</t>
  </si>
  <si>
    <t>Cavalo</t>
  </si>
  <si>
    <t>Conjunto</t>
  </si>
  <si>
    <t>Velocidade Média Terra (Km/h)</t>
  </si>
  <si>
    <t>Conjuntos</t>
  </si>
  <si>
    <t>R$/Ton</t>
  </si>
  <si>
    <t>Ciclo</t>
  </si>
  <si>
    <t>Ganho Médio por Km/h</t>
  </si>
  <si>
    <t>Var. Km/h</t>
  </si>
  <si>
    <t>Var. Safra</t>
  </si>
  <si>
    <t>Var. Ciclo</t>
  </si>
  <si>
    <t>Fator de Variação</t>
  </si>
  <si>
    <t>Premissas</t>
  </si>
  <si>
    <t>R$/ton/Km/h</t>
  </si>
  <si>
    <t>R$/Safra/Km/Hr</t>
  </si>
  <si>
    <t>R$/Ciclo/Km/h</t>
  </si>
  <si>
    <t>Potencial Teórico por Caminhão</t>
  </si>
  <si>
    <t>Nome do Projeto: Melhoria de Trajetos</t>
  </si>
  <si>
    <t>Embolso</t>
  </si>
  <si>
    <t>Desembolso</t>
  </si>
  <si>
    <t>Investimento em estrada</t>
  </si>
  <si>
    <t>R$/ton Fixo/Km/h</t>
  </si>
  <si>
    <t>Cavalo Mecânico</t>
  </si>
  <si>
    <t>Conjunto Canavieiro</t>
  </si>
  <si>
    <t>Mão de Obra</t>
  </si>
  <si>
    <t>Investimento</t>
  </si>
  <si>
    <t>Ano 1</t>
  </si>
  <si>
    <t>Ano 2</t>
  </si>
  <si>
    <t>Ano 3</t>
  </si>
  <si>
    <t>Ano 4</t>
  </si>
  <si>
    <t>Ano 5</t>
  </si>
  <si>
    <t>Manutenção do Investimento</t>
  </si>
  <si>
    <t>Observações</t>
  </si>
  <si>
    <t>Ganho Energético (Variável)</t>
  </si>
  <si>
    <t>Exemplo: Sair de 30 para 32 Km/Hora na Safra</t>
  </si>
  <si>
    <t>Total Anual</t>
  </si>
  <si>
    <t>Total Acumulado</t>
  </si>
  <si>
    <t>Saldo Anual</t>
  </si>
  <si>
    <t>Saldo Acumulado</t>
  </si>
  <si>
    <t>VPL</t>
  </si>
  <si>
    <t>TIR</t>
  </si>
  <si>
    <t>Payback</t>
  </si>
  <si>
    <t xml:space="preserve">Obs. este resultado apresentado não está sendo considerado estes impostos para análise do VPL </t>
  </si>
  <si>
    <t>Premissas Financeiras</t>
  </si>
  <si>
    <t>Taxa de desconto / remuneração de K</t>
  </si>
  <si>
    <t>a.a.</t>
  </si>
  <si>
    <t>Meses</t>
  </si>
  <si>
    <t>Base</t>
  </si>
  <si>
    <t>Viab</t>
  </si>
  <si>
    <t>Anual</t>
  </si>
  <si>
    <t>Acum.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</si>
</sst>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_-&quot;R$&quot;\ * #,##0_-;\-&quot;R$&quot;\ * #,##0_-;_-&quot;R$&quot;\ * &quot;-&quot;??_-;_-@_-"/>
    <numFmt numFmtId="167" formatCode="&quot;R$&quot;\ #,##0.00&quot;/ton&quot;"/>
    <numFmt numFmtId="168" formatCode="_-* #,##0.0_-;\-* #,##0.0_-;_-* &quot;-&quot;?_-;_-@_-"/>
    <numFmt numFmtId="169" formatCode="_-* #,##0.0_-&quot;Km/h&quot;;\-* #,##0.0_-;_-* &quot;-&quot;??_-;_-@_-"/>
    <numFmt numFmtId="172" formatCode="&quot;R$&quot;\ #,##0.00"/>
    <numFmt numFmtId="173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name val="Arial"/>
      <family val="2"/>
    </font>
    <font>
      <b/>
      <sz val="10"/>
      <color theme="1" tint="0.499984740745262"/>
      <name val="Arial"/>
      <family val="2"/>
    </font>
    <font>
      <b/>
      <sz val="11"/>
      <color theme="1" tint="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1" tint="0.34998626667073579"/>
      </left>
      <right/>
      <top style="medium">
        <color auto="1"/>
      </top>
      <bottom style="thin">
        <color auto="1"/>
      </bottom>
      <diagonal/>
    </border>
    <border>
      <left/>
      <right style="medium">
        <color theme="1" tint="0.34998626667073579"/>
      </right>
      <top style="medium">
        <color auto="1"/>
      </top>
      <bottom style="thin">
        <color auto="1"/>
      </bottom>
      <diagonal/>
    </border>
    <border>
      <left style="medium">
        <color theme="1" tint="0.34998626667073579"/>
      </left>
      <right/>
      <top style="thin">
        <color auto="1"/>
      </top>
      <bottom style="thin">
        <color auto="1"/>
      </bottom>
      <diagonal/>
    </border>
    <border>
      <left/>
      <right style="medium">
        <color theme="1" tint="0.34998626667073579"/>
      </right>
      <top style="thin">
        <color auto="1"/>
      </top>
      <bottom style="thin">
        <color auto="1"/>
      </bottom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thin">
        <color auto="1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thin">
        <color auto="1"/>
      </bottom>
      <diagonal/>
    </border>
    <border>
      <left/>
      <right/>
      <top style="medium">
        <color theme="1" tint="0.34998626667073579"/>
      </top>
      <bottom style="thin">
        <color auto="1"/>
      </bottom>
      <diagonal/>
    </border>
    <border>
      <left/>
      <right/>
      <top/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 style="thin">
        <color auto="1"/>
      </top>
      <bottom/>
      <diagonal/>
    </border>
    <border>
      <left/>
      <right style="medium">
        <color theme="1" tint="0.34998626667073579"/>
      </right>
      <top style="thin">
        <color auto="1"/>
      </top>
      <bottom/>
      <diagonal/>
    </border>
    <border>
      <left/>
      <right/>
      <top style="medium">
        <color theme="1" tint="0.34998626667073579"/>
      </top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/>
      <bottom style="thin">
        <color auto="1"/>
      </bottom>
      <diagonal/>
    </border>
    <border>
      <left/>
      <right style="medium">
        <color theme="1" tint="0.34998626667073579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 style="thin">
        <color indexed="64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thin">
        <color indexed="64"/>
      </top>
      <bottom style="medium">
        <color theme="1" tint="0.34998626667073579"/>
      </bottom>
      <diagonal/>
    </border>
    <border>
      <left style="medium">
        <color theme="1" tint="0.14996795556505021"/>
      </left>
      <right/>
      <top style="medium">
        <color theme="1" tint="0.14996795556505021"/>
      </top>
      <bottom style="thin">
        <color theme="2" tint="-9.9948118533890809E-2"/>
      </bottom>
      <diagonal/>
    </border>
    <border>
      <left/>
      <right/>
      <top style="medium">
        <color theme="1" tint="0.14996795556505021"/>
      </top>
      <bottom style="thin">
        <color theme="2" tint="-9.9948118533890809E-2"/>
      </bottom>
      <diagonal/>
    </border>
    <border>
      <left/>
      <right style="medium">
        <color theme="1" tint="0.14996795556505021"/>
      </right>
      <top style="medium">
        <color theme="1" tint="0.14996795556505021"/>
      </top>
      <bottom style="thin">
        <color theme="2" tint="-9.9948118533890809E-2"/>
      </bottom>
      <diagonal/>
    </border>
    <border>
      <left style="medium">
        <color theme="1" tint="0.14996795556505021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medium">
        <color theme="1" tint="0.1499679555650502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theme="1" tint="0.14996795556505021"/>
      </left>
      <right/>
      <top style="thin">
        <color theme="2" tint="-9.9948118533890809E-2"/>
      </top>
      <bottom style="medium">
        <color theme="1" tint="0.14996795556505021"/>
      </bottom>
      <diagonal/>
    </border>
    <border>
      <left/>
      <right/>
      <top style="thin">
        <color theme="2" tint="-9.9948118533890809E-2"/>
      </top>
      <bottom style="medium">
        <color theme="1" tint="0.14996795556505021"/>
      </bottom>
      <diagonal/>
    </border>
    <border>
      <left/>
      <right style="medium">
        <color theme="1" tint="0.14996795556505021"/>
      </right>
      <top style="thin">
        <color theme="2" tint="-9.9948118533890809E-2"/>
      </top>
      <bottom style="medium">
        <color theme="1" tint="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0">
    <xf numFmtId="0" fontId="0" fillId="0" borderId="0" xfId="0"/>
    <xf numFmtId="4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  <xf numFmtId="0" fontId="2" fillId="0" borderId="0" xfId="0" applyFont="1"/>
    <xf numFmtId="4" fontId="2" fillId="0" borderId="0" xfId="0" applyNumberFormat="1" applyFont="1"/>
    <xf numFmtId="0" fontId="0" fillId="0" borderId="1" xfId="0" applyBorder="1"/>
    <xf numFmtId="4" fontId="0" fillId="0" borderId="1" xfId="0" applyNumberFormat="1" applyBorder="1"/>
    <xf numFmtId="165" fontId="0" fillId="0" borderId="1" xfId="1" applyNumberFormat="1" applyFont="1" applyBorder="1"/>
    <xf numFmtId="0" fontId="0" fillId="0" borderId="2" xfId="0" applyBorder="1"/>
    <xf numFmtId="4" fontId="0" fillId="0" borderId="2" xfId="0" applyNumberFormat="1" applyBorder="1"/>
    <xf numFmtId="8" fontId="0" fillId="0" borderId="2" xfId="0" applyNumberFormat="1" applyBorder="1"/>
    <xf numFmtId="43" fontId="0" fillId="0" borderId="2" xfId="0" applyNumberFormat="1" applyBorder="1"/>
    <xf numFmtId="165" fontId="0" fillId="0" borderId="2" xfId="0" applyNumberFormat="1" applyBorder="1"/>
    <xf numFmtId="0" fontId="0" fillId="0" borderId="3" xfId="0" applyBorder="1"/>
    <xf numFmtId="4" fontId="0" fillId="0" borderId="3" xfId="0" applyNumberFormat="1" applyBorder="1"/>
    <xf numFmtId="8" fontId="0" fillId="0" borderId="3" xfId="0" applyNumberFormat="1" applyBorder="1"/>
    <xf numFmtId="8" fontId="0" fillId="0" borderId="1" xfId="0" applyNumberFormat="1" applyBorder="1"/>
    <xf numFmtId="8" fontId="2" fillId="0" borderId="0" xfId="0" applyNumberFormat="1" applyFont="1"/>
    <xf numFmtId="8" fontId="0" fillId="0" borderId="0" xfId="0" applyNumberFormat="1" applyBorder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8" fontId="0" fillId="0" borderId="0" xfId="0" applyNumberFormat="1" applyAlignment="1">
      <alignment horizontal="right"/>
    </xf>
    <xf numFmtId="43" fontId="0" fillId="0" borderId="0" xfId="1" applyFont="1" applyAlignment="1">
      <alignment horizontal="right"/>
    </xf>
    <xf numFmtId="43" fontId="0" fillId="0" borderId="1" xfId="1" applyFont="1" applyBorder="1" applyAlignment="1">
      <alignment horizontal="right"/>
    </xf>
    <xf numFmtId="43" fontId="0" fillId="0" borderId="3" xfId="1" applyFont="1" applyBorder="1" applyAlignment="1">
      <alignment horizontal="right"/>
    </xf>
    <xf numFmtId="44" fontId="0" fillId="0" borderId="1" xfId="2" applyFont="1" applyBorder="1" applyAlignment="1">
      <alignment horizontal="right"/>
    </xf>
    <xf numFmtId="44" fontId="0" fillId="0" borderId="2" xfId="2" applyFont="1" applyBorder="1" applyAlignment="1">
      <alignment horizontal="right"/>
    </xf>
    <xf numFmtId="44" fontId="0" fillId="0" borderId="3" xfId="2" applyFont="1" applyBorder="1" applyAlignment="1">
      <alignment horizontal="right"/>
    </xf>
    <xf numFmtId="166" fontId="0" fillId="0" borderId="1" xfId="2" applyNumberFormat="1" applyFont="1" applyBorder="1" applyAlignment="1">
      <alignment horizontal="right"/>
    </xf>
    <xf numFmtId="166" fontId="0" fillId="0" borderId="2" xfId="2" applyNumberFormat="1" applyFont="1" applyBorder="1" applyAlignment="1">
      <alignment horizontal="right"/>
    </xf>
    <xf numFmtId="166" fontId="0" fillId="0" borderId="3" xfId="2" applyNumberFormat="1" applyFont="1" applyBorder="1" applyAlignment="1">
      <alignment horizontal="right"/>
    </xf>
    <xf numFmtId="166" fontId="0" fillId="0" borderId="9" xfId="2" applyNumberFormat="1" applyFont="1" applyBorder="1" applyAlignment="1">
      <alignment horizontal="right"/>
    </xf>
    <xf numFmtId="166" fontId="2" fillId="0" borderId="10" xfId="2" applyNumberFormat="1" applyFont="1" applyBorder="1" applyAlignment="1">
      <alignment horizontal="right"/>
    </xf>
    <xf numFmtId="166" fontId="0" fillId="0" borderId="11" xfId="2" applyNumberFormat="1" applyFont="1" applyBorder="1" applyAlignment="1">
      <alignment horizontal="right"/>
    </xf>
    <xf numFmtId="166" fontId="2" fillId="0" borderId="12" xfId="2" applyNumberFormat="1" applyFont="1" applyBorder="1" applyAlignment="1">
      <alignment horizontal="right"/>
    </xf>
    <xf numFmtId="166" fontId="0" fillId="0" borderId="13" xfId="2" applyNumberFormat="1" applyFont="1" applyBorder="1" applyAlignment="1">
      <alignment horizontal="right"/>
    </xf>
    <xf numFmtId="166" fontId="2" fillId="0" borderId="14" xfId="2" applyNumberFormat="1" applyFont="1" applyBorder="1" applyAlignment="1">
      <alignment horizontal="right"/>
    </xf>
    <xf numFmtId="166" fontId="2" fillId="0" borderId="8" xfId="2" applyNumberFormat="1" applyFont="1" applyBorder="1" applyAlignment="1">
      <alignment horizontal="right"/>
    </xf>
    <xf numFmtId="9" fontId="0" fillId="0" borderId="15" xfId="0" applyNumberFormat="1" applyBorder="1" applyAlignment="1">
      <alignment horizontal="right"/>
    </xf>
    <xf numFmtId="9" fontId="0" fillId="0" borderId="16" xfId="0" applyNumberFormat="1" applyBorder="1" applyAlignment="1">
      <alignment horizontal="right"/>
    </xf>
    <xf numFmtId="4" fontId="0" fillId="0" borderId="17" xfId="0" applyNumberFormat="1" applyBorder="1" applyAlignment="1">
      <alignment horizontal="right"/>
    </xf>
    <xf numFmtId="4" fontId="0" fillId="0" borderId="15" xfId="2" applyNumberFormat="1" applyFont="1" applyBorder="1" applyAlignment="1">
      <alignment horizontal="center"/>
    </xf>
    <xf numFmtId="4" fontId="0" fillId="0" borderId="16" xfId="2" applyNumberFormat="1" applyFont="1" applyBorder="1" applyAlignment="1">
      <alignment horizontal="center"/>
    </xf>
    <xf numFmtId="166" fontId="2" fillId="0" borderId="17" xfId="2" applyNumberFormat="1" applyFont="1" applyBorder="1" applyAlignment="1">
      <alignment horizontal="right"/>
    </xf>
    <xf numFmtId="4" fontId="0" fillId="0" borderId="4" xfId="0" applyNumberFormat="1" applyBorder="1" applyAlignment="1">
      <alignment horizontal="right"/>
    </xf>
    <xf numFmtId="4" fontId="0" fillId="0" borderId="5" xfId="0" applyNumberFormat="1" applyBorder="1" applyAlignment="1">
      <alignment horizontal="right"/>
    </xf>
    <xf numFmtId="4" fontId="2" fillId="0" borderId="6" xfId="0" applyNumberFormat="1" applyFont="1" applyBorder="1" applyAlignment="1">
      <alignment horizontal="right"/>
    </xf>
    <xf numFmtId="6" fontId="2" fillId="0" borderId="15" xfId="0" applyNumberFormat="1" applyFont="1" applyBorder="1" applyAlignment="1">
      <alignment horizontal="right"/>
    </xf>
    <xf numFmtId="6" fontId="2" fillId="0" borderId="16" xfId="0" applyNumberFormat="1" applyFont="1" applyBorder="1" applyAlignment="1">
      <alignment horizontal="right"/>
    </xf>
    <xf numFmtId="6" fontId="2" fillId="0" borderId="17" xfId="0" applyNumberFormat="1" applyFont="1" applyBorder="1" applyAlignment="1">
      <alignment horizontal="right"/>
    </xf>
    <xf numFmtId="166" fontId="2" fillId="0" borderId="7" xfId="2" applyNumberFormat="1" applyFont="1" applyBorder="1" applyAlignment="1">
      <alignment horizontal="right"/>
    </xf>
    <xf numFmtId="166" fontId="2" fillId="0" borderId="0" xfId="2" applyNumberFormat="1" applyFont="1" applyBorder="1" applyAlignment="1">
      <alignment horizontal="right"/>
    </xf>
    <xf numFmtId="44" fontId="2" fillId="0" borderId="7" xfId="2" applyFont="1" applyBorder="1" applyAlignment="1">
      <alignment horizontal="right"/>
    </xf>
    <xf numFmtId="44" fontId="2" fillId="0" borderId="0" xfId="2" applyFont="1" applyBorder="1" applyAlignment="1">
      <alignment horizontal="right"/>
    </xf>
    <xf numFmtId="44" fontId="2" fillId="0" borderId="8" xfId="2" applyFont="1" applyBorder="1" applyAlignment="1">
      <alignment horizontal="right"/>
    </xf>
    <xf numFmtId="44" fontId="0" fillId="0" borderId="9" xfId="2" applyFont="1" applyBorder="1" applyAlignment="1">
      <alignment horizontal="right"/>
    </xf>
    <xf numFmtId="44" fontId="0" fillId="0" borderId="10" xfId="2" applyFont="1" applyBorder="1" applyAlignment="1">
      <alignment horizontal="right"/>
    </xf>
    <xf numFmtId="44" fontId="0" fillId="0" borderId="11" xfId="2" applyFont="1" applyBorder="1" applyAlignment="1">
      <alignment horizontal="right"/>
    </xf>
    <xf numFmtId="44" fontId="0" fillId="0" borderId="12" xfId="2" applyFont="1" applyBorder="1" applyAlignment="1">
      <alignment horizontal="right"/>
    </xf>
    <xf numFmtId="44" fontId="0" fillId="0" borderId="13" xfId="2" applyFont="1" applyBorder="1" applyAlignment="1">
      <alignment horizontal="right"/>
    </xf>
    <xf numFmtId="44" fontId="0" fillId="0" borderId="14" xfId="2" applyFont="1" applyBorder="1" applyAlignment="1">
      <alignment horizontal="right"/>
    </xf>
    <xf numFmtId="0" fontId="2" fillId="0" borderId="18" xfId="0" applyFont="1" applyBorder="1"/>
    <xf numFmtId="4" fontId="2" fillId="0" borderId="19" xfId="0" applyNumberFormat="1" applyFont="1" applyBorder="1"/>
    <xf numFmtId="0" fontId="2" fillId="0" borderId="19" xfId="0" applyFont="1" applyBorder="1"/>
    <xf numFmtId="8" fontId="2" fillId="0" borderId="20" xfId="0" applyNumberFormat="1" applyFont="1" applyBorder="1"/>
    <xf numFmtId="3" fontId="0" fillId="0" borderId="0" xfId="0" applyNumberFormat="1"/>
    <xf numFmtId="3" fontId="0" fillId="0" borderId="0" xfId="0" applyNumberFormat="1" applyAlignment="1">
      <alignment horizontal="right"/>
    </xf>
    <xf numFmtId="4" fontId="0" fillId="0" borderId="0" xfId="1" applyNumberFormat="1" applyFont="1" applyAlignment="1">
      <alignment horizontal="right"/>
    </xf>
    <xf numFmtId="0" fontId="0" fillId="3" borderId="0" xfId="0" applyFill="1"/>
    <xf numFmtId="0" fontId="0" fillId="0" borderId="4" xfId="0" applyBorder="1"/>
    <xf numFmtId="0" fontId="0" fillId="0" borderId="7" xfId="0" applyBorder="1"/>
    <xf numFmtId="6" fontId="0" fillId="0" borderId="0" xfId="0" applyNumberFormat="1" applyBorder="1"/>
    <xf numFmtId="0" fontId="0" fillId="0" borderId="15" xfId="0" applyBorder="1"/>
    <xf numFmtId="0" fontId="0" fillId="0" borderId="0" xfId="0" applyBorder="1"/>
    <xf numFmtId="4" fontId="0" fillId="0" borderId="1" xfId="0" applyNumberFormat="1" applyBorder="1" applyAlignment="1">
      <alignment horizontal="right"/>
    </xf>
    <xf numFmtId="9" fontId="0" fillId="0" borderId="3" xfId="0" applyNumberFormat="1" applyBorder="1"/>
    <xf numFmtId="4" fontId="0" fillId="0" borderId="3" xfId="0" applyNumberFormat="1" applyBorder="1" applyAlignment="1">
      <alignment horizontal="right"/>
    </xf>
    <xf numFmtId="0" fontId="0" fillId="0" borderId="21" xfId="0" applyBorder="1"/>
    <xf numFmtId="4" fontId="0" fillId="0" borderId="21" xfId="0" applyNumberFormat="1" applyBorder="1"/>
    <xf numFmtId="0" fontId="0" fillId="0" borderId="22" xfId="0" applyBorder="1"/>
    <xf numFmtId="0" fontId="0" fillId="0" borderId="5" xfId="0" applyBorder="1"/>
    <xf numFmtId="0" fontId="0" fillId="0" borderId="23" xfId="0" applyBorder="1"/>
    <xf numFmtId="0" fontId="2" fillId="4" borderId="24" xfId="0" applyFont="1" applyFill="1" applyBorder="1"/>
    <xf numFmtId="0" fontId="2" fillId="4" borderId="22" xfId="0" applyFont="1" applyFill="1" applyBorder="1"/>
    <xf numFmtId="0" fontId="2" fillId="4" borderId="22" xfId="0" applyFont="1" applyFill="1" applyBorder="1" applyAlignment="1">
      <alignment horizontal="right"/>
    </xf>
    <xf numFmtId="0" fontId="2" fillId="4" borderId="25" xfId="0" applyFont="1" applyFill="1" applyBorder="1" applyAlignment="1">
      <alignment horizontal="right"/>
    </xf>
    <xf numFmtId="0" fontId="0" fillId="0" borderId="26" xfId="0" applyBorder="1"/>
    <xf numFmtId="4" fontId="2" fillId="0" borderId="0" xfId="0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27" xfId="0" applyBorder="1" applyAlignment="1">
      <alignment horizontal="right"/>
    </xf>
    <xf numFmtId="0" fontId="0" fillId="0" borderId="28" xfId="0" applyBorder="1"/>
    <xf numFmtId="0" fontId="0" fillId="0" borderId="21" xfId="0" applyBorder="1" applyAlignment="1">
      <alignment horizontal="right"/>
    </xf>
    <xf numFmtId="0" fontId="0" fillId="0" borderId="29" xfId="0" applyBorder="1" applyAlignment="1">
      <alignment horizontal="right"/>
    </xf>
    <xf numFmtId="0" fontId="2" fillId="4" borderId="26" xfId="0" applyFont="1" applyFill="1" applyBorder="1"/>
    <xf numFmtId="0" fontId="2" fillId="4" borderId="0" xfId="0" applyFont="1" applyFill="1" applyBorder="1"/>
    <xf numFmtId="0" fontId="2" fillId="4" borderId="0" xfId="0" applyFont="1" applyFill="1" applyBorder="1" applyAlignment="1">
      <alignment horizontal="right"/>
    </xf>
    <xf numFmtId="0" fontId="2" fillId="4" borderId="27" xfId="0" applyFont="1" applyFill="1" applyBorder="1" applyAlignment="1">
      <alignment horizontal="right"/>
    </xf>
    <xf numFmtId="8" fontId="0" fillId="0" borderId="21" xfId="0" applyNumberForma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6" fontId="3" fillId="2" borderId="4" xfId="2" applyNumberFormat="1" applyFont="1" applyFill="1" applyBorder="1" applyAlignment="1">
      <alignment horizontal="center"/>
    </xf>
    <xf numFmtId="166" fontId="3" fillId="2" borderId="5" xfId="2" applyNumberFormat="1" applyFont="1" applyFill="1" applyBorder="1" applyAlignment="1">
      <alignment horizontal="center"/>
    </xf>
    <xf numFmtId="166" fontId="3" fillId="2" borderId="6" xfId="2" applyNumberFormat="1" applyFont="1" applyFill="1" applyBorder="1" applyAlignment="1">
      <alignment horizontal="center"/>
    </xf>
    <xf numFmtId="3" fontId="4" fillId="2" borderId="7" xfId="1" applyNumberFormat="1" applyFont="1" applyFill="1" applyBorder="1" applyAlignment="1">
      <alignment horizontal="center"/>
    </xf>
    <xf numFmtId="3" fontId="4" fillId="2" borderId="0" xfId="1" applyNumberFormat="1" applyFont="1" applyFill="1" applyBorder="1" applyAlignment="1">
      <alignment horizontal="center"/>
    </xf>
    <xf numFmtId="3" fontId="4" fillId="2" borderId="8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 textRotation="90"/>
    </xf>
    <xf numFmtId="4" fontId="7" fillId="5" borderId="2" xfId="0" applyNumberFormat="1" applyFont="1" applyFill="1" applyBorder="1"/>
    <xf numFmtId="9" fontId="7" fillId="5" borderId="1" xfId="0" applyNumberFormat="1" applyFont="1" applyFill="1" applyBorder="1"/>
    <xf numFmtId="0" fontId="7" fillId="5" borderId="1" xfId="0" applyFont="1" applyFill="1" applyBorder="1"/>
    <xf numFmtId="0" fontId="7" fillId="5" borderId="3" xfId="0" applyFont="1" applyFill="1" applyBorder="1"/>
    <xf numFmtId="43" fontId="7" fillId="5" borderId="0" xfId="1" applyFont="1" applyFill="1" applyAlignment="1">
      <alignment horizontal="right"/>
    </xf>
    <xf numFmtId="0" fontId="2" fillId="0" borderId="0" xfId="0" applyFont="1" applyAlignment="1">
      <alignment horizontal="center"/>
    </xf>
    <xf numFmtId="165" fontId="0" fillId="0" borderId="3" xfId="1" applyNumberFormat="1" applyFont="1" applyBorder="1"/>
    <xf numFmtId="165" fontId="7" fillId="5" borderId="1" xfId="1" applyNumberFormat="1" applyFont="1" applyFill="1" applyBorder="1"/>
    <xf numFmtId="165" fontId="7" fillId="5" borderId="2" xfId="1" applyNumberFormat="1" applyFont="1" applyFill="1" applyBorder="1"/>
    <xf numFmtId="8" fontId="7" fillId="5" borderId="2" xfId="0" applyNumberFormat="1" applyFont="1" applyFill="1" applyBorder="1"/>
    <xf numFmtId="9" fontId="7" fillId="5" borderId="2" xfId="0" applyNumberFormat="1" applyFont="1" applyFill="1" applyBorder="1"/>
    <xf numFmtId="43" fontId="7" fillId="5" borderId="2" xfId="1" applyFont="1" applyFill="1" applyBorder="1"/>
    <xf numFmtId="8" fontId="7" fillId="5" borderId="3" xfId="0" applyNumberFormat="1" applyFont="1" applyFill="1" applyBorder="1"/>
    <xf numFmtId="0" fontId="0" fillId="0" borderId="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32" xfId="0" applyBorder="1" applyAlignment="1">
      <alignment horizontal="right"/>
    </xf>
    <xf numFmtId="9" fontId="7" fillId="5" borderId="33" xfId="0" applyNumberFormat="1" applyFont="1" applyFill="1" applyBorder="1"/>
    <xf numFmtId="43" fontId="7" fillId="5" borderId="33" xfId="1" applyFont="1" applyFill="1" applyBorder="1"/>
    <xf numFmtId="0" fontId="0" fillId="0" borderId="34" xfId="0" applyBorder="1" applyAlignment="1">
      <alignment horizontal="right"/>
    </xf>
    <xf numFmtId="43" fontId="0" fillId="0" borderId="33" xfId="1" applyFont="1" applyBorder="1"/>
    <xf numFmtId="0" fontId="0" fillId="0" borderId="33" xfId="0" applyBorder="1"/>
    <xf numFmtId="0" fontId="0" fillId="0" borderId="35" xfId="0" applyBorder="1"/>
    <xf numFmtId="0" fontId="0" fillId="0" borderId="31" xfId="0" applyBorder="1"/>
    <xf numFmtId="0" fontId="2" fillId="0" borderId="36" xfId="0" applyFont="1" applyBorder="1" applyAlignment="1">
      <alignment horizontal="right"/>
    </xf>
    <xf numFmtId="0" fontId="2" fillId="0" borderId="37" xfId="0" applyFont="1" applyBorder="1"/>
    <xf numFmtId="0" fontId="2" fillId="0" borderId="38" xfId="0" applyFont="1" applyBorder="1"/>
    <xf numFmtId="0" fontId="2" fillId="0" borderId="38" xfId="0" applyFont="1" applyBorder="1" applyAlignment="1">
      <alignment horizontal="right"/>
    </xf>
    <xf numFmtId="0" fontId="2" fillId="0" borderId="39" xfId="0" applyFont="1" applyBorder="1"/>
    <xf numFmtId="0" fontId="2" fillId="0" borderId="40" xfId="0" applyFont="1" applyBorder="1" applyAlignment="1">
      <alignment horizontal="right"/>
    </xf>
    <xf numFmtId="0" fontId="0" fillId="0" borderId="32" xfId="0" applyBorder="1"/>
    <xf numFmtId="0" fontId="0" fillId="0" borderId="34" xfId="0" applyBorder="1"/>
    <xf numFmtId="0" fontId="0" fillId="0" borderId="30" xfId="0" applyBorder="1"/>
    <xf numFmtId="43" fontId="7" fillId="5" borderId="35" xfId="1" applyFont="1" applyFill="1" applyBorder="1"/>
    <xf numFmtId="0" fontId="2" fillId="0" borderId="36" xfId="0" applyFont="1" applyBorder="1"/>
    <xf numFmtId="0" fontId="2" fillId="0" borderId="41" xfId="0" applyFont="1" applyBorder="1" applyAlignment="1">
      <alignment horizontal="right"/>
    </xf>
    <xf numFmtId="43" fontId="2" fillId="0" borderId="37" xfId="1" applyFont="1" applyBorder="1"/>
    <xf numFmtId="0" fontId="0" fillId="0" borderId="38" xfId="0" applyBorder="1"/>
    <xf numFmtId="0" fontId="0" fillId="0" borderId="38" xfId="0" applyBorder="1" applyAlignment="1">
      <alignment horizontal="right"/>
    </xf>
    <xf numFmtId="0" fontId="0" fillId="0" borderId="39" xfId="0" applyBorder="1"/>
    <xf numFmtId="0" fontId="0" fillId="0" borderId="40" xfId="0" applyBorder="1" applyAlignment="1">
      <alignment horizontal="right"/>
    </xf>
    <xf numFmtId="4" fontId="0" fillId="0" borderId="33" xfId="0" applyNumberFormat="1" applyBorder="1"/>
    <xf numFmtId="0" fontId="0" fillId="0" borderId="43" xfId="0" applyBorder="1"/>
    <xf numFmtId="0" fontId="0" fillId="0" borderId="43" xfId="0" applyBorder="1" applyAlignment="1">
      <alignment horizontal="right"/>
    </xf>
    <xf numFmtId="43" fontId="7" fillId="5" borderId="44" xfId="1" applyFont="1" applyFill="1" applyBorder="1"/>
    <xf numFmtId="0" fontId="0" fillId="0" borderId="22" xfId="0" applyBorder="1" applyAlignment="1">
      <alignment horizontal="right"/>
    </xf>
    <xf numFmtId="43" fontId="0" fillId="0" borderId="44" xfId="1" applyFont="1" applyBorder="1"/>
    <xf numFmtId="0" fontId="0" fillId="0" borderId="45" xfId="0" applyBorder="1"/>
    <xf numFmtId="0" fontId="0" fillId="0" borderId="45" xfId="0" applyBorder="1" applyAlignment="1">
      <alignment horizontal="right"/>
    </xf>
    <xf numFmtId="43" fontId="0" fillId="0" borderId="45" xfId="1" applyFont="1" applyBorder="1"/>
    <xf numFmtId="0" fontId="0" fillId="0" borderId="48" xfId="0" applyBorder="1"/>
    <xf numFmtId="0" fontId="0" fillId="0" borderId="48" xfId="0" applyBorder="1" applyAlignment="1">
      <alignment horizontal="right"/>
    </xf>
    <xf numFmtId="43" fontId="0" fillId="0" borderId="49" xfId="1" applyFont="1" applyBorder="1"/>
    <xf numFmtId="0" fontId="0" fillId="0" borderId="51" xfId="0" applyBorder="1"/>
    <xf numFmtId="0" fontId="0" fillId="0" borderId="50" xfId="0" applyBorder="1" applyAlignment="1">
      <alignment horizontal="right"/>
    </xf>
    <xf numFmtId="43" fontId="0" fillId="0" borderId="50" xfId="1" applyFont="1" applyBorder="1"/>
    <xf numFmtId="43" fontId="7" fillId="5" borderId="52" xfId="1" applyFont="1" applyFill="1" applyBorder="1"/>
    <xf numFmtId="0" fontId="2" fillId="0" borderId="41" xfId="0" applyFont="1" applyBorder="1"/>
    <xf numFmtId="0" fontId="2" fillId="0" borderId="32" xfId="0" applyFont="1" applyBorder="1"/>
    <xf numFmtId="0" fontId="2" fillId="0" borderId="32" xfId="0" applyFont="1" applyBorder="1" applyAlignment="1">
      <alignment horizontal="right"/>
    </xf>
    <xf numFmtId="43" fontId="2" fillId="0" borderId="33" xfId="1" applyFont="1" applyBorder="1"/>
    <xf numFmtId="0" fontId="2" fillId="0" borderId="2" xfId="0" applyFont="1" applyBorder="1" applyAlignment="1">
      <alignment horizontal="right"/>
    </xf>
    <xf numFmtId="0" fontId="7" fillId="5" borderId="39" xfId="0" applyFont="1" applyFill="1" applyBorder="1"/>
    <xf numFmtId="0" fontId="7" fillId="5" borderId="33" xfId="0" applyFont="1" applyFill="1" applyBorder="1"/>
    <xf numFmtId="0" fontId="2" fillId="0" borderId="33" xfId="0" applyFont="1" applyBorder="1"/>
    <xf numFmtId="0" fontId="5" fillId="6" borderId="46" xfId="0" applyFont="1" applyFill="1" applyBorder="1"/>
    <xf numFmtId="0" fontId="5" fillId="6" borderId="42" xfId="0" applyFont="1" applyFill="1" applyBorder="1"/>
    <xf numFmtId="0" fontId="5" fillId="6" borderId="47" xfId="0" applyFont="1" applyFill="1" applyBorder="1"/>
    <xf numFmtId="0" fontId="5" fillId="6" borderId="42" xfId="0" applyFont="1" applyFill="1" applyBorder="1" applyAlignment="1">
      <alignment horizontal="right"/>
    </xf>
    <xf numFmtId="43" fontId="5" fillId="6" borderId="42" xfId="1" applyFont="1" applyFill="1" applyBorder="1"/>
    <xf numFmtId="43" fontId="5" fillId="6" borderId="47" xfId="1" applyFont="1" applyFill="1" applyBorder="1"/>
    <xf numFmtId="0" fontId="5" fillId="6" borderId="0" xfId="0" applyFont="1" applyFill="1"/>
    <xf numFmtId="4" fontId="5" fillId="6" borderId="0" xfId="0" applyNumberFormat="1" applyFont="1" applyFill="1"/>
    <xf numFmtId="0" fontId="5" fillId="6" borderId="7" xfId="0" applyFont="1" applyFill="1" applyBorder="1" applyAlignment="1">
      <alignment horizontal="right"/>
    </xf>
    <xf numFmtId="0" fontId="5" fillId="6" borderId="0" xfId="0" applyFont="1" applyFill="1" applyBorder="1" applyAlignment="1">
      <alignment horizontal="right"/>
    </xf>
    <xf numFmtId="0" fontId="5" fillId="6" borderId="8" xfId="0" applyFont="1" applyFill="1" applyBorder="1" applyAlignment="1">
      <alignment horizontal="right"/>
    </xf>
    <xf numFmtId="4" fontId="7" fillId="5" borderId="39" xfId="0" applyNumberFormat="1" applyFont="1" applyFill="1" applyBorder="1"/>
    <xf numFmtId="4" fontId="7" fillId="5" borderId="33" xfId="0" applyNumberFormat="1" applyFont="1" applyFill="1" applyBorder="1"/>
    <xf numFmtId="4" fontId="0" fillId="0" borderId="52" xfId="0" applyNumberFormat="1" applyBorder="1"/>
    <xf numFmtId="4" fontId="5" fillId="6" borderId="47" xfId="0" applyNumberFormat="1" applyFont="1" applyFill="1" applyBorder="1"/>
    <xf numFmtId="167" fontId="0" fillId="0" borderId="5" xfId="0" applyNumberFormat="1" applyBorder="1" applyAlignment="1">
      <alignment horizontal="right"/>
    </xf>
    <xf numFmtId="167" fontId="0" fillId="0" borderId="23" xfId="0" applyNumberFormat="1" applyBorder="1" applyAlignment="1">
      <alignment horizontal="right"/>
    </xf>
    <xf numFmtId="167" fontId="0" fillId="0" borderId="0" xfId="0" applyNumberFormat="1" applyAlignment="1">
      <alignment horizontal="right"/>
    </xf>
    <xf numFmtId="165" fontId="0" fillId="0" borderId="0" xfId="0" applyNumberFormat="1" applyBorder="1"/>
    <xf numFmtId="168" fontId="2" fillId="4" borderId="0" xfId="0" applyNumberFormat="1" applyFont="1" applyFill="1" applyBorder="1"/>
    <xf numFmtId="0" fontId="0" fillId="0" borderId="24" xfId="0" applyBorder="1"/>
    <xf numFmtId="0" fontId="0" fillId="0" borderId="25" xfId="0" applyBorder="1" applyAlignment="1">
      <alignment horizontal="right"/>
    </xf>
    <xf numFmtId="8" fontId="0" fillId="0" borderId="0" xfId="0" applyNumberFormat="1" applyBorder="1" applyAlignment="1">
      <alignment horizontal="right"/>
    </xf>
    <xf numFmtId="4" fontId="2" fillId="0" borderId="6" xfId="0" applyNumberFormat="1" applyFont="1" applyBorder="1"/>
    <xf numFmtId="3" fontId="2" fillId="0" borderId="17" xfId="0" applyNumberFormat="1" applyFont="1" applyBorder="1"/>
    <xf numFmtId="3" fontId="2" fillId="0" borderId="8" xfId="0" applyNumberFormat="1" applyFont="1" applyBorder="1"/>
    <xf numFmtId="0" fontId="7" fillId="6" borderId="0" xfId="0" applyFont="1" applyFill="1"/>
    <xf numFmtId="0" fontId="5" fillId="6" borderId="18" xfId="0" applyFont="1" applyFill="1" applyBorder="1"/>
    <xf numFmtId="0" fontId="5" fillId="6" borderId="19" xfId="0" applyFont="1" applyFill="1" applyBorder="1"/>
    <xf numFmtId="0" fontId="5" fillId="6" borderId="20" xfId="0" applyFont="1" applyFill="1" applyBorder="1"/>
    <xf numFmtId="4" fontId="5" fillId="6" borderId="0" xfId="0" applyNumberFormat="1" applyFont="1" applyFill="1" applyAlignment="1">
      <alignment horizontal="right"/>
    </xf>
    <xf numFmtId="0" fontId="5" fillId="6" borderId="0" xfId="0" applyFont="1" applyFill="1" applyAlignment="1">
      <alignment horizontal="right"/>
    </xf>
    <xf numFmtId="0" fontId="7" fillId="6" borderId="0" xfId="0" applyFont="1" applyFill="1" applyAlignment="1">
      <alignment horizontal="right"/>
    </xf>
    <xf numFmtId="165" fontId="7" fillId="6" borderId="0" xfId="1" applyNumberFormat="1" applyFont="1" applyFill="1"/>
    <xf numFmtId="8" fontId="7" fillId="6" borderId="0" xfId="1" applyNumberFormat="1" applyFont="1" applyFill="1"/>
    <xf numFmtId="0" fontId="5" fillId="6" borderId="0" xfId="0" applyFont="1" applyFill="1" applyAlignment="1">
      <alignment horizontal="center"/>
    </xf>
    <xf numFmtId="169" fontId="8" fillId="0" borderId="53" xfId="1" applyNumberFormat="1" applyFont="1" applyBorder="1"/>
    <xf numFmtId="0" fontId="8" fillId="0" borderId="54" xfId="0" applyFont="1" applyBorder="1" applyAlignment="1">
      <alignment horizontal="right"/>
    </xf>
    <xf numFmtId="0" fontId="8" fillId="0" borderId="55" xfId="0" applyFont="1" applyBorder="1"/>
    <xf numFmtId="169" fontId="8" fillId="0" borderId="56" xfId="1" applyNumberFormat="1" applyFont="1" applyBorder="1"/>
    <xf numFmtId="6" fontId="8" fillId="0" borderId="57" xfId="0" applyNumberFormat="1" applyFont="1" applyBorder="1" applyAlignment="1">
      <alignment horizontal="right"/>
    </xf>
    <xf numFmtId="0" fontId="8" fillId="0" borderId="58" xfId="0" applyFont="1" applyBorder="1"/>
    <xf numFmtId="169" fontId="8" fillId="0" borderId="59" xfId="1" applyNumberFormat="1" applyFont="1" applyBorder="1"/>
    <xf numFmtId="6" fontId="8" fillId="0" borderId="60" xfId="0" applyNumberFormat="1" applyFont="1" applyBorder="1" applyAlignment="1">
      <alignment horizontal="right"/>
    </xf>
    <xf numFmtId="0" fontId="8" fillId="0" borderId="61" xfId="0" applyFont="1" applyBorder="1"/>
    <xf numFmtId="6" fontId="8" fillId="0" borderId="54" xfId="0" applyNumberFormat="1" applyFont="1" applyBorder="1" applyAlignment="1">
      <alignment horizontal="right"/>
    </xf>
    <xf numFmtId="169" fontId="0" fillId="0" borderId="53" xfId="1" applyNumberFormat="1" applyFont="1" applyBorder="1"/>
    <xf numFmtId="165" fontId="0" fillId="0" borderId="54" xfId="1" applyNumberFormat="1" applyFont="1" applyBorder="1"/>
    <xf numFmtId="8" fontId="0" fillId="0" borderId="54" xfId="0" applyNumberFormat="1" applyBorder="1"/>
    <xf numFmtId="6" fontId="0" fillId="0" borderId="54" xfId="0" applyNumberFormat="1" applyBorder="1"/>
    <xf numFmtId="6" fontId="0" fillId="0" borderId="54" xfId="0" applyNumberFormat="1" applyBorder="1" applyAlignment="1">
      <alignment horizontal="right"/>
    </xf>
    <xf numFmtId="0" fontId="0" fillId="0" borderId="55" xfId="0" applyBorder="1"/>
    <xf numFmtId="169" fontId="0" fillId="0" borderId="56" xfId="1" applyNumberFormat="1" applyFont="1" applyBorder="1"/>
    <xf numFmtId="165" fontId="0" fillId="0" borderId="57" xfId="1" applyNumberFormat="1" applyFont="1" applyBorder="1"/>
    <xf numFmtId="8" fontId="0" fillId="0" borderId="57" xfId="0" applyNumberFormat="1" applyBorder="1"/>
    <xf numFmtId="6" fontId="0" fillId="0" borderId="57" xfId="0" applyNumberFormat="1" applyBorder="1"/>
    <xf numFmtId="6" fontId="0" fillId="0" borderId="57" xfId="0" applyNumberFormat="1" applyBorder="1" applyAlignment="1">
      <alignment horizontal="right"/>
    </xf>
    <xf numFmtId="0" fontId="0" fillId="0" borderId="58" xfId="0" applyBorder="1"/>
    <xf numFmtId="169" fontId="0" fillId="0" borderId="59" xfId="1" applyNumberFormat="1" applyFont="1" applyBorder="1"/>
    <xf numFmtId="165" fontId="0" fillId="0" borderId="60" xfId="1" applyNumberFormat="1" applyFont="1" applyBorder="1"/>
    <xf numFmtId="8" fontId="0" fillId="0" borderId="60" xfId="0" applyNumberFormat="1" applyBorder="1"/>
    <xf numFmtId="6" fontId="0" fillId="0" borderId="60" xfId="0" applyNumberFormat="1" applyBorder="1"/>
    <xf numFmtId="6" fontId="0" fillId="0" borderId="60" xfId="0" applyNumberFormat="1" applyBorder="1" applyAlignment="1">
      <alignment horizontal="right"/>
    </xf>
    <xf numFmtId="0" fontId="0" fillId="0" borderId="61" xfId="0" applyBorder="1"/>
    <xf numFmtId="165" fontId="9" fillId="0" borderId="54" xfId="1" applyNumberFormat="1" applyFont="1" applyBorder="1"/>
    <xf numFmtId="8" fontId="9" fillId="0" borderId="54" xfId="0" applyNumberFormat="1" applyFont="1" applyBorder="1"/>
    <xf numFmtId="6" fontId="9" fillId="0" borderId="54" xfId="0" applyNumberFormat="1" applyFont="1" applyBorder="1"/>
    <xf numFmtId="165" fontId="9" fillId="0" borderId="57" xfId="1" applyNumberFormat="1" applyFont="1" applyBorder="1"/>
    <xf numFmtId="8" fontId="9" fillId="0" borderId="57" xfId="0" applyNumberFormat="1" applyFont="1" applyBorder="1"/>
    <xf numFmtId="6" fontId="9" fillId="0" borderId="57" xfId="0" applyNumberFormat="1" applyFont="1" applyBorder="1"/>
    <xf numFmtId="165" fontId="9" fillId="0" borderId="60" xfId="1" applyNumberFormat="1" applyFont="1" applyBorder="1"/>
    <xf numFmtId="8" fontId="9" fillId="0" borderId="60" xfId="0" applyNumberFormat="1" applyFont="1" applyBorder="1"/>
    <xf numFmtId="6" fontId="9" fillId="0" borderId="60" xfId="0" applyNumberFormat="1" applyFont="1" applyBorder="1"/>
    <xf numFmtId="8" fontId="0" fillId="0" borderId="22" xfId="0" applyNumberFormat="1" applyBorder="1"/>
    <xf numFmtId="166" fontId="0" fillId="0" borderId="0" xfId="2" applyNumberFormat="1" applyFont="1"/>
    <xf numFmtId="172" fontId="0" fillId="0" borderId="0" xfId="0" applyNumberFormat="1" applyAlignment="1">
      <alignment horizontal="right"/>
    </xf>
    <xf numFmtId="0" fontId="11" fillId="6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11" fillId="6" borderId="0" xfId="0" applyFont="1" applyFill="1"/>
    <xf numFmtId="0" fontId="11" fillId="7" borderId="0" xfId="0" applyFont="1" applyFill="1" applyAlignment="1">
      <alignment horizontal="center"/>
    </xf>
    <xf numFmtId="0" fontId="11" fillId="7" borderId="0" xfId="0" applyFont="1" applyFill="1"/>
    <xf numFmtId="0" fontId="12" fillId="0" borderId="62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37" fontId="12" fillId="0" borderId="2" xfId="0" applyNumberFormat="1" applyFont="1" applyBorder="1" applyAlignment="1">
      <alignment vertical="center"/>
    </xf>
    <xf numFmtId="166" fontId="12" fillId="0" borderId="2" xfId="2" applyNumberFormat="1" applyFont="1" applyBorder="1" applyAlignment="1">
      <alignment horizontal="center" vertical="center"/>
    </xf>
    <xf numFmtId="166" fontId="12" fillId="0" borderId="63" xfId="2" applyNumberFormat="1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10" fontId="12" fillId="0" borderId="2" xfId="0" applyNumberFormat="1" applyFont="1" applyBorder="1" applyAlignment="1">
      <alignment horizontal="right" vertical="center"/>
    </xf>
    <xf numFmtId="10" fontId="12" fillId="0" borderId="63" xfId="0" applyNumberFormat="1" applyFont="1" applyBorder="1" applyAlignment="1">
      <alignment horizontal="right" vertical="center"/>
    </xf>
    <xf numFmtId="0" fontId="12" fillId="0" borderId="2" xfId="0" applyFont="1" applyBorder="1" applyAlignment="1">
      <alignment horizontal="right" vertical="center"/>
    </xf>
    <xf numFmtId="0" fontId="12" fillId="0" borderId="63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2" xfId="0" applyBorder="1" applyAlignment="1">
      <alignment vertical="center"/>
    </xf>
    <xf numFmtId="0" fontId="16" fillId="0" borderId="2" xfId="0" applyFont="1" applyBorder="1" applyAlignment="1">
      <alignment vertical="center"/>
    </xf>
    <xf numFmtId="9" fontId="0" fillId="0" borderId="2" xfId="0" applyNumberFormat="1" applyBorder="1" applyAlignment="1">
      <alignment vertical="center"/>
    </xf>
    <xf numFmtId="9" fontId="0" fillId="0" borderId="2" xfId="3" applyFont="1" applyFill="1" applyBorder="1" applyAlignment="1">
      <alignment horizontal="center" vertical="center"/>
    </xf>
    <xf numFmtId="0" fontId="0" fillId="0" borderId="63" xfId="0" applyBorder="1" applyAlignment="1">
      <alignment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26" xfId="0" applyBorder="1" applyAlignment="1">
      <alignment horizontal="right" vertical="center"/>
    </xf>
    <xf numFmtId="0" fontId="0" fillId="0" borderId="27" xfId="0" applyBorder="1" applyAlignment="1">
      <alignment horizontal="center" vertical="center"/>
    </xf>
    <xf numFmtId="173" fontId="0" fillId="8" borderId="27" xfId="0" applyNumberFormat="1" applyFill="1" applyBorder="1" applyAlignment="1">
      <alignment horizontal="center" vertical="center"/>
    </xf>
    <xf numFmtId="37" fontId="0" fillId="0" borderId="0" xfId="0" applyNumberFormat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right" vertical="center"/>
    </xf>
    <xf numFmtId="0" fontId="2" fillId="4" borderId="0" xfId="0" applyFont="1" applyFill="1"/>
    <xf numFmtId="4" fontId="0" fillId="0" borderId="0" xfId="2" applyNumberFormat="1" applyFont="1"/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3" fontId="2" fillId="4" borderId="0" xfId="2" applyNumberFormat="1" applyFont="1" applyFill="1"/>
    <xf numFmtId="3" fontId="2" fillId="4" borderId="0" xfId="2" applyNumberFormat="1" applyFont="1" applyFill="1" applyAlignment="1">
      <alignment horizontal="right"/>
    </xf>
    <xf numFmtId="166" fontId="0" fillId="0" borderId="1" xfId="2" applyNumberFormat="1" applyFont="1" applyBorder="1"/>
    <xf numFmtId="166" fontId="0" fillId="0" borderId="2" xfId="2" applyNumberFormat="1" applyFont="1" applyBorder="1"/>
    <xf numFmtId="9" fontId="0" fillId="0" borderId="22" xfId="0" applyNumberFormat="1" applyBorder="1"/>
    <xf numFmtId="166" fontId="0" fillId="0" borderId="22" xfId="2" applyNumberFormat="1" applyFont="1" applyBorder="1"/>
    <xf numFmtId="0" fontId="2" fillId="0" borderId="64" xfId="0" applyFont="1" applyBorder="1"/>
    <xf numFmtId="9" fontId="2" fillId="0" borderId="64" xfId="0" applyNumberFormat="1" applyFont="1" applyBorder="1"/>
    <xf numFmtId="166" fontId="2" fillId="0" borderId="64" xfId="2" applyNumberFormat="1" applyFont="1" applyBorder="1"/>
    <xf numFmtId="0" fontId="2" fillId="0" borderId="2" xfId="0" applyFont="1" applyBorder="1"/>
    <xf numFmtId="166" fontId="2" fillId="0" borderId="2" xfId="2" applyNumberFormat="1" applyFont="1" applyBorder="1"/>
    <xf numFmtId="0" fontId="2" fillId="4" borderId="64" xfId="0" applyFont="1" applyFill="1" applyBorder="1"/>
    <xf numFmtId="166" fontId="2" fillId="4" borderId="64" xfId="2" applyNumberFormat="1" applyFont="1" applyFill="1" applyBorder="1"/>
    <xf numFmtId="0" fontId="2" fillId="4" borderId="2" xfId="0" applyFont="1" applyFill="1" applyBorder="1"/>
    <xf numFmtId="166" fontId="2" fillId="4" borderId="2" xfId="2" applyNumberFormat="1" applyFont="1" applyFill="1" applyBorder="1"/>
    <xf numFmtId="166" fontId="0" fillId="0" borderId="0" xfId="0" applyNumberFormat="1"/>
    <xf numFmtId="0" fontId="17" fillId="4" borderId="0" xfId="0" applyFont="1" applyFill="1" applyAlignment="1">
      <alignment horizontal="center" vertical="center" textRotation="90"/>
    </xf>
    <xf numFmtId="0" fontId="0" fillId="9" borderId="0" xfId="0" applyFill="1"/>
    <xf numFmtId="166" fontId="0" fillId="9" borderId="0" xfId="0" applyNumberFormat="1" applyFill="1"/>
    <xf numFmtId="0" fontId="0" fillId="10" borderId="0" xfId="0" applyFill="1"/>
    <xf numFmtId="166" fontId="0" fillId="10" borderId="0" xfId="0" applyNumberFormat="1" applyFill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Quantidade de Caminhões</a:t>
            </a:r>
            <a:r>
              <a:rPr lang="pt-BR" baseline="0"/>
              <a:t> e Variação de Custo por Tonelada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Premissas!$T$3</c:f>
              <c:strCache>
                <c:ptCount val="1"/>
                <c:pt idx="0">
                  <c:v>Caminhões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Premissas!$S$9:$S$21</c:f>
              <c:numCache>
                <c:formatCode>_-* #,##0.0_-"Km/h";\-* #,##0.0_-;_-* "-"??_-;_-@_-</c:formatCode>
                <c:ptCount val="13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</c:numCache>
            </c:numRef>
          </c:cat>
          <c:val>
            <c:numRef>
              <c:f>Premissas!$T$9:$T$21</c:f>
              <c:numCache>
                <c:formatCode>_-* #,##0_-;\-* #,##0_-;_-* "-"??_-;_-@_-</c:formatCode>
                <c:ptCount val="13"/>
                <c:pt idx="0">
                  <c:v>27</c:v>
                </c:pt>
                <c:pt idx="1">
                  <c:v>26</c:v>
                </c:pt>
                <c:pt idx="2">
                  <c:v>26</c:v>
                </c:pt>
                <c:pt idx="3">
                  <c:v>25</c:v>
                </c:pt>
                <c:pt idx="4">
                  <c:v>24</c:v>
                </c:pt>
                <c:pt idx="5">
                  <c:v>24</c:v>
                </c:pt>
                <c:pt idx="6">
                  <c:v>23</c:v>
                </c:pt>
                <c:pt idx="7">
                  <c:v>23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21</c:v>
                </c:pt>
                <c:pt idx="1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28-4A55-99F2-91C0621B2307}"/>
            </c:ext>
          </c:extLst>
        </c:ser>
        <c:ser>
          <c:idx val="3"/>
          <c:order val="1"/>
          <c:tx>
            <c:strRef>
              <c:f>Premissas!$U$3</c:f>
              <c:strCache>
                <c:ptCount val="1"/>
                <c:pt idx="0">
                  <c:v>Conjuntos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Premissas!$S$9:$S$21</c:f>
              <c:numCache>
                <c:formatCode>_-* #,##0.0_-"Km/h";\-* #,##0.0_-;_-* "-"??_-;_-@_-</c:formatCode>
                <c:ptCount val="13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</c:numCache>
            </c:numRef>
          </c:cat>
          <c:val>
            <c:numRef>
              <c:f>Premissas!$U$9:$U$21</c:f>
              <c:numCache>
                <c:formatCode>_-* #,##0_-;\-* #,##0_-;_-* "-"??_-;_-@_-</c:formatCode>
                <c:ptCount val="13"/>
                <c:pt idx="0">
                  <c:v>48</c:v>
                </c:pt>
                <c:pt idx="1">
                  <c:v>47</c:v>
                </c:pt>
                <c:pt idx="2">
                  <c:v>47</c:v>
                </c:pt>
                <c:pt idx="3">
                  <c:v>47</c:v>
                </c:pt>
                <c:pt idx="4">
                  <c:v>46</c:v>
                </c:pt>
                <c:pt idx="5">
                  <c:v>46</c:v>
                </c:pt>
                <c:pt idx="6">
                  <c:v>45</c:v>
                </c:pt>
                <c:pt idx="7">
                  <c:v>45</c:v>
                </c:pt>
                <c:pt idx="8">
                  <c:v>44</c:v>
                </c:pt>
                <c:pt idx="9">
                  <c:v>44</c:v>
                </c:pt>
                <c:pt idx="10">
                  <c:v>44</c:v>
                </c:pt>
                <c:pt idx="11">
                  <c:v>43</c:v>
                </c:pt>
                <c:pt idx="12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E28-4A55-99F2-91C0621B230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4896616"/>
        <c:axId val="814895176"/>
      </c:lineChart>
      <c:catAx>
        <c:axId val="814896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km/h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.0_-&quot;Km/h&quot;;\-* #,##0.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4895176"/>
        <c:crosses val="autoZero"/>
        <c:auto val="1"/>
        <c:lblAlgn val="ctr"/>
        <c:lblOffset val="100"/>
        <c:noMultiLvlLbl val="0"/>
      </c:catAx>
      <c:valAx>
        <c:axId val="814895176"/>
        <c:scaling>
          <c:orientation val="minMax"/>
          <c:min val="14"/>
        </c:scaling>
        <c:delete val="0"/>
        <c:axPos val="l"/>
        <c:numFmt formatCode="_-* #,##0_-;\-* #,##0_-;_-* &quot;-&quot;??_-;_-@_-" sourceLinked="1"/>
        <c:majorTickMark val="out"/>
        <c:minorTickMark val="none"/>
        <c:tickLblPos val="nextTo"/>
        <c:crossAx val="8148966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Quantidade de Caminhões</a:t>
            </a:r>
            <a:r>
              <a:rPr lang="pt-BR" baseline="0"/>
              <a:t> e Variação de Custo por Tonelada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Premissas!$V$3</c:f>
              <c:strCache>
                <c:ptCount val="1"/>
                <c:pt idx="0">
                  <c:v>R$/Ton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&quot;R$&quot;\ 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Premissas!$S$9:$S$21</c:f>
              <c:numCache>
                <c:formatCode>_-* #,##0.0_-"Km/h";\-* #,##0.0_-;_-* "-"??_-;_-@_-</c:formatCode>
                <c:ptCount val="13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</c:numCache>
            </c:numRef>
          </c:cat>
          <c:val>
            <c:numRef>
              <c:f>Premissas!$V$9:$V$21</c:f>
              <c:numCache>
                <c:formatCode>"R$"#,##0.00_);[Red]\("R$"#,##0.00\)</c:formatCode>
                <c:ptCount val="13"/>
                <c:pt idx="0">
                  <c:v>17.502120000000001</c:v>
                </c:pt>
                <c:pt idx="1">
                  <c:v>16.893816666666666</c:v>
                </c:pt>
                <c:pt idx="2">
                  <c:v>16.893816666666666</c:v>
                </c:pt>
                <c:pt idx="3">
                  <c:v>16.336843333333334</c:v>
                </c:pt>
                <c:pt idx="4">
                  <c:v>15.728540000000002</c:v>
                </c:pt>
                <c:pt idx="5">
                  <c:v>15.728540000000002</c:v>
                </c:pt>
                <c:pt idx="6">
                  <c:v>15.120236666666667</c:v>
                </c:pt>
                <c:pt idx="7">
                  <c:v>15.120236666666667</c:v>
                </c:pt>
                <c:pt idx="8">
                  <c:v>14.511933333333333</c:v>
                </c:pt>
                <c:pt idx="9">
                  <c:v>14.511933333333333</c:v>
                </c:pt>
                <c:pt idx="10">
                  <c:v>14.511933333333333</c:v>
                </c:pt>
                <c:pt idx="11">
                  <c:v>13.90363</c:v>
                </c:pt>
                <c:pt idx="12">
                  <c:v>13.90363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28-4A55-99F2-91C0621B230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4896616"/>
        <c:axId val="814895176"/>
      </c:lineChart>
      <c:catAx>
        <c:axId val="814896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km/h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.0_-&quot;Km/h&quot;;\-* #,##0.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4895176"/>
        <c:crosses val="autoZero"/>
        <c:auto val="1"/>
        <c:lblAlgn val="ctr"/>
        <c:lblOffset val="100"/>
        <c:noMultiLvlLbl val="0"/>
      </c:catAx>
      <c:valAx>
        <c:axId val="814895176"/>
        <c:scaling>
          <c:orientation val="minMax"/>
          <c:min val="14"/>
        </c:scaling>
        <c:delete val="0"/>
        <c:axPos val="l"/>
        <c:numFmt formatCode="&quot;R$&quot;#,##0.00_);[Red]\(&quot;R$&quot;#,##0.00\)" sourceLinked="1"/>
        <c:majorTickMark val="out"/>
        <c:minorTickMark val="none"/>
        <c:tickLblPos val="nextTo"/>
        <c:crossAx val="8148966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Viabilidade!$B$44:$D$44</c:f>
              <c:strCache>
                <c:ptCount val="3"/>
                <c:pt idx="0">
                  <c:v>Saldo Anual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Viabilidade!$E$41:$J$41</c:f>
              <c:strCache>
                <c:ptCount val="6"/>
                <c:pt idx="0">
                  <c:v>Investimento</c:v>
                </c:pt>
                <c:pt idx="1">
                  <c:v>Ano 1</c:v>
                </c:pt>
                <c:pt idx="2">
                  <c:v>Ano 2</c:v>
                </c:pt>
                <c:pt idx="3">
                  <c:v>Ano 3</c:v>
                </c:pt>
                <c:pt idx="4">
                  <c:v>Ano 4</c:v>
                </c:pt>
                <c:pt idx="5">
                  <c:v>Ano 5</c:v>
                </c:pt>
              </c:strCache>
            </c:strRef>
          </c:cat>
          <c:val>
            <c:numRef>
              <c:f>Viabilidade!$E$44:$J$44</c:f>
              <c:numCache>
                <c:formatCode>_-"R$"\ * #,##0_-;\-"R$"\ * #,##0_-;_-"R$"\ * "-"??_-;_-@_-</c:formatCode>
                <c:ptCount val="6"/>
                <c:pt idx="0">
                  <c:v>-500000</c:v>
                </c:pt>
                <c:pt idx="1">
                  <c:v>1724676.6666666667</c:v>
                </c:pt>
                <c:pt idx="2">
                  <c:v>618596.66666666674</c:v>
                </c:pt>
                <c:pt idx="3">
                  <c:v>618596.66666666674</c:v>
                </c:pt>
                <c:pt idx="4">
                  <c:v>618596.66666666674</c:v>
                </c:pt>
                <c:pt idx="5">
                  <c:v>618596.66666666674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98-478C-83FC-770BA13D6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246571216"/>
        <c:axId val="1246574096"/>
      </c:barChart>
      <c:lineChart>
        <c:grouping val="standard"/>
        <c:varyColors val="0"/>
        <c:ser>
          <c:idx val="0"/>
          <c:order val="0"/>
          <c:tx>
            <c:strRef>
              <c:f>Viabilidade!$B$42:$D$42</c:f>
              <c:strCache>
                <c:ptCount val="3"/>
                <c:pt idx="0">
                  <c:v>Embolso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Viabilidade!$E$41:$J$41</c:f>
              <c:strCache>
                <c:ptCount val="6"/>
                <c:pt idx="0">
                  <c:v>Investimento</c:v>
                </c:pt>
                <c:pt idx="1">
                  <c:v>Ano 1</c:v>
                </c:pt>
                <c:pt idx="2">
                  <c:v>Ano 2</c:v>
                </c:pt>
                <c:pt idx="3">
                  <c:v>Ano 3</c:v>
                </c:pt>
                <c:pt idx="4">
                  <c:v>Ano 4</c:v>
                </c:pt>
                <c:pt idx="5">
                  <c:v>Ano 5</c:v>
                </c:pt>
              </c:strCache>
            </c:strRef>
          </c:cat>
          <c:val>
            <c:numRef>
              <c:f>Viabilidade!$E$42:$J$42</c:f>
              <c:numCache>
                <c:formatCode>_-"R$"\ * #,##0_-;\-"R$"\ * #,##0_-;_-"R$"\ * "-"??_-;_-@_-</c:formatCode>
                <c:ptCount val="6"/>
                <c:pt idx="0">
                  <c:v>0</c:v>
                </c:pt>
                <c:pt idx="1">
                  <c:v>1824676.6666666667</c:v>
                </c:pt>
                <c:pt idx="2">
                  <c:v>718596.66666666674</c:v>
                </c:pt>
                <c:pt idx="3">
                  <c:v>718596.66666666674</c:v>
                </c:pt>
                <c:pt idx="4">
                  <c:v>718596.66666666674</c:v>
                </c:pt>
                <c:pt idx="5">
                  <c:v>718596.66666666674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98-478C-83FC-770BA13D6D1F}"/>
            </c:ext>
          </c:extLst>
        </c:ser>
        <c:ser>
          <c:idx val="1"/>
          <c:order val="1"/>
          <c:tx>
            <c:strRef>
              <c:f>Viabilidade!$B$43:$D$43</c:f>
              <c:strCache>
                <c:ptCount val="3"/>
                <c:pt idx="0">
                  <c:v>Desembolso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Viabilidade!$E$41:$J$41</c:f>
              <c:strCache>
                <c:ptCount val="6"/>
                <c:pt idx="0">
                  <c:v>Investimento</c:v>
                </c:pt>
                <c:pt idx="1">
                  <c:v>Ano 1</c:v>
                </c:pt>
                <c:pt idx="2">
                  <c:v>Ano 2</c:v>
                </c:pt>
                <c:pt idx="3">
                  <c:v>Ano 3</c:v>
                </c:pt>
                <c:pt idx="4">
                  <c:v>Ano 4</c:v>
                </c:pt>
                <c:pt idx="5">
                  <c:v>Ano 5</c:v>
                </c:pt>
              </c:strCache>
            </c:strRef>
          </c:cat>
          <c:val>
            <c:numRef>
              <c:f>Viabilidade!$E$43:$J$43</c:f>
              <c:numCache>
                <c:formatCode>_-"R$"\ * #,##0_-;\-"R$"\ * #,##0_-;_-"R$"\ * "-"??_-;_-@_-</c:formatCode>
                <c:ptCount val="6"/>
                <c:pt idx="0">
                  <c:v>-500000</c:v>
                </c:pt>
                <c:pt idx="1">
                  <c:v>-100000</c:v>
                </c:pt>
                <c:pt idx="2">
                  <c:v>-100000</c:v>
                </c:pt>
                <c:pt idx="3">
                  <c:v>-100000</c:v>
                </c:pt>
                <c:pt idx="4">
                  <c:v>-100000</c:v>
                </c:pt>
                <c:pt idx="5">
                  <c:v>-100000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98-478C-83FC-770BA13D6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6571216"/>
        <c:axId val="1246574096"/>
      </c:lineChart>
      <c:catAx>
        <c:axId val="124657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6574096"/>
        <c:crosses val="autoZero"/>
        <c:auto val="1"/>
        <c:lblAlgn val="ctr"/>
        <c:lblOffset val="100"/>
        <c:noMultiLvlLbl val="0"/>
      </c:catAx>
      <c:valAx>
        <c:axId val="12465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_-;\-&quot;R$&quot;\ * #,##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65712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Acumulado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Viabilidade!$B$49:$D$49</c:f>
              <c:strCache>
                <c:ptCount val="3"/>
                <c:pt idx="0">
                  <c:v>Saldo Anual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Viabilidade!$E$41:$J$41</c:f>
              <c:strCache>
                <c:ptCount val="6"/>
                <c:pt idx="0">
                  <c:v>Investimento</c:v>
                </c:pt>
                <c:pt idx="1">
                  <c:v>Ano 1</c:v>
                </c:pt>
                <c:pt idx="2">
                  <c:v>Ano 2</c:v>
                </c:pt>
                <c:pt idx="3">
                  <c:v>Ano 3</c:v>
                </c:pt>
                <c:pt idx="4">
                  <c:v>Ano 4</c:v>
                </c:pt>
                <c:pt idx="5">
                  <c:v>Ano 5</c:v>
                </c:pt>
              </c:strCache>
            </c:strRef>
          </c:cat>
          <c:val>
            <c:numRef>
              <c:f>Viabilidade!$E$49:$J$49</c:f>
              <c:numCache>
                <c:formatCode>_-"R$"\ * #,##0_-;\-"R$"\ * #,##0_-;_-"R$"\ * "-"??_-;_-@_-</c:formatCode>
                <c:ptCount val="6"/>
                <c:pt idx="0">
                  <c:v>-500000</c:v>
                </c:pt>
                <c:pt idx="1">
                  <c:v>1224676.6666666667</c:v>
                </c:pt>
                <c:pt idx="2">
                  <c:v>1843273.3333333335</c:v>
                </c:pt>
                <c:pt idx="3">
                  <c:v>2461870</c:v>
                </c:pt>
                <c:pt idx="4">
                  <c:v>3080466.666666667</c:v>
                </c:pt>
                <c:pt idx="5">
                  <c:v>3699063.333333334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98-478C-83FC-770BA13D6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246571216"/>
        <c:axId val="1246574096"/>
      </c:barChart>
      <c:lineChart>
        <c:grouping val="standard"/>
        <c:varyColors val="0"/>
        <c:ser>
          <c:idx val="0"/>
          <c:order val="0"/>
          <c:tx>
            <c:strRef>
              <c:f>Viabilidade!$B$47:$D$47</c:f>
              <c:strCache>
                <c:ptCount val="3"/>
                <c:pt idx="0">
                  <c:v>Embolso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Viabilidade!$E$41:$J$41</c:f>
              <c:strCache>
                <c:ptCount val="6"/>
                <c:pt idx="0">
                  <c:v>Investimento</c:v>
                </c:pt>
                <c:pt idx="1">
                  <c:v>Ano 1</c:v>
                </c:pt>
                <c:pt idx="2">
                  <c:v>Ano 2</c:v>
                </c:pt>
                <c:pt idx="3">
                  <c:v>Ano 3</c:v>
                </c:pt>
                <c:pt idx="4">
                  <c:v>Ano 4</c:v>
                </c:pt>
                <c:pt idx="5">
                  <c:v>Ano 5</c:v>
                </c:pt>
              </c:strCache>
            </c:strRef>
          </c:cat>
          <c:val>
            <c:numRef>
              <c:f>Viabilidade!$E$47:$J$47</c:f>
              <c:numCache>
                <c:formatCode>_-"R$"\ * #,##0_-;\-"R$"\ * #,##0_-;_-"R$"\ * "-"??_-;_-@_-</c:formatCode>
                <c:ptCount val="6"/>
                <c:pt idx="0">
                  <c:v>0</c:v>
                </c:pt>
                <c:pt idx="1">
                  <c:v>1824676.6666666667</c:v>
                </c:pt>
                <c:pt idx="2">
                  <c:v>2543273.3333333335</c:v>
                </c:pt>
                <c:pt idx="3">
                  <c:v>3261870</c:v>
                </c:pt>
                <c:pt idx="4">
                  <c:v>3980466.666666667</c:v>
                </c:pt>
                <c:pt idx="5">
                  <c:v>4699063.333333334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98-478C-83FC-770BA13D6D1F}"/>
            </c:ext>
          </c:extLst>
        </c:ser>
        <c:ser>
          <c:idx val="1"/>
          <c:order val="1"/>
          <c:tx>
            <c:strRef>
              <c:f>Viabilidade!$B$48:$D$48</c:f>
              <c:strCache>
                <c:ptCount val="3"/>
                <c:pt idx="0">
                  <c:v>Desembolso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Viabilidade!$E$41:$J$41</c:f>
              <c:strCache>
                <c:ptCount val="6"/>
                <c:pt idx="0">
                  <c:v>Investimento</c:v>
                </c:pt>
                <c:pt idx="1">
                  <c:v>Ano 1</c:v>
                </c:pt>
                <c:pt idx="2">
                  <c:v>Ano 2</c:v>
                </c:pt>
                <c:pt idx="3">
                  <c:v>Ano 3</c:v>
                </c:pt>
                <c:pt idx="4">
                  <c:v>Ano 4</c:v>
                </c:pt>
                <c:pt idx="5">
                  <c:v>Ano 5</c:v>
                </c:pt>
              </c:strCache>
            </c:strRef>
          </c:cat>
          <c:val>
            <c:numRef>
              <c:f>Viabilidade!$E$48:$J$48</c:f>
              <c:numCache>
                <c:formatCode>_-"R$"\ * #,##0_-;\-"R$"\ * #,##0_-;_-"R$"\ * "-"??_-;_-@_-</c:formatCode>
                <c:ptCount val="6"/>
                <c:pt idx="0">
                  <c:v>-500000</c:v>
                </c:pt>
                <c:pt idx="1">
                  <c:v>-600000</c:v>
                </c:pt>
                <c:pt idx="2">
                  <c:v>-700000</c:v>
                </c:pt>
                <c:pt idx="3">
                  <c:v>-800000</c:v>
                </c:pt>
                <c:pt idx="4">
                  <c:v>-900000</c:v>
                </c:pt>
                <c:pt idx="5">
                  <c:v>-1000000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98-478C-83FC-770BA13D6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6571216"/>
        <c:axId val="1246574096"/>
      </c:lineChart>
      <c:catAx>
        <c:axId val="124657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6574096"/>
        <c:crosses val="autoZero"/>
        <c:auto val="1"/>
        <c:lblAlgn val="ctr"/>
        <c:lblOffset val="100"/>
        <c:noMultiLvlLbl val="0"/>
      </c:catAx>
      <c:valAx>
        <c:axId val="12465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_-;\-&quot;R$&quot;\ * #,##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65712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605691</xdr:colOff>
      <xdr:row>4</xdr:row>
      <xdr:rowOff>0</xdr:rowOff>
    </xdr:from>
    <xdr:to>
      <xdr:col>42</xdr:col>
      <xdr:colOff>48847</xdr:colOff>
      <xdr:row>19</xdr:row>
      <xdr:rowOff>187763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06EC65-F347-4FD2-5AA3-64E38460CD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0</xdr:colOff>
      <xdr:row>19</xdr:row>
      <xdr:rowOff>183468</xdr:rowOff>
    </xdr:from>
    <xdr:to>
      <xdr:col>42</xdr:col>
      <xdr:colOff>48848</xdr:colOff>
      <xdr:row>38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D9164AA-FF41-E403-B773-03DCC5361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186690</xdr:colOff>
      <xdr:row>49</xdr:row>
      <xdr:rowOff>167640</xdr:rowOff>
    </xdr:from>
    <xdr:to>
      <xdr:col>4</xdr:col>
      <xdr:colOff>944880</xdr:colOff>
      <xdr:row>65</xdr:row>
      <xdr:rowOff>129540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3230D4-2634-4A49-0272-6285B8733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944880</xdr:colOff>
      <xdr:row>49</xdr:row>
      <xdr:rowOff>167640</xdr:rowOff>
    </xdr:from>
    <xdr:to>
      <xdr:col>11</xdr:col>
      <xdr:colOff>262890</xdr:colOff>
      <xdr:row>65</xdr:row>
      <xdr:rowOff>129540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EB25AB5-90DA-0ED2-E932-3ACB8190E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  <wetp:taskpane dockstate="right" visibility="0" width="438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A1E19A1-F602-4903-B164-74E91BF1D0CF}">
  <we:reference id="wa104381701" version="1.0.0.4" store="pt-BR" storeType="OMEX"/>
  <we:alternateReferences>
    <we:reference id="WA104381701" version="1.0.0.4" store="WA104381701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DC8A83F-6B6A-41A7-9741-9679BE4AA44C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c87af66c-aefb-4223-91fd-8df4c5c5495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19AC-BDA7-48FC-BF00-A4B4931FD08A}">
  <dimension ref="B1:AB118"/>
  <sheetViews>
    <sheetView showGridLines="0" tabSelected="1" zoomScale="78" workbookViewId="0">
      <selection activeCell="D59" sqref="D59"/>
    </sheetView>
  </sheetViews>
  <sheetFormatPr defaultRowHeight="14.4" x14ac:dyDescent="0.3"/>
  <cols>
    <col min="1" max="1" width="1.77734375" customWidth="1"/>
    <col min="2" max="2" width="24.109375" bestFit="1" customWidth="1"/>
    <col min="3" max="3" width="14.44140625" style="1" bestFit="1" customWidth="1"/>
    <col min="4" max="4" width="14.33203125" bestFit="1" customWidth="1"/>
    <col min="5" max="5" width="8.88671875" bestFit="1" customWidth="1"/>
    <col min="6" max="6" width="8.77734375" bestFit="1" customWidth="1"/>
    <col min="7" max="7" width="15.109375" style="20" bestFit="1" customWidth="1"/>
    <col min="8" max="8" width="14.33203125" style="20" bestFit="1" customWidth="1"/>
    <col min="9" max="9" width="15.109375" style="20" bestFit="1" customWidth="1"/>
    <col min="10" max="11" width="1.77734375" style="20" customWidth="1"/>
    <col min="12" max="12" width="23.5546875" bestFit="1" customWidth="1"/>
    <col min="13" max="13" width="10.6640625" bestFit="1" customWidth="1"/>
    <col min="14" max="14" width="9.109375" bestFit="1" customWidth="1"/>
    <col min="15" max="15" width="6.88671875" bestFit="1" customWidth="1"/>
    <col min="16" max="16" width="10.6640625" bestFit="1" customWidth="1"/>
    <col min="17" max="17" width="1.77734375" customWidth="1"/>
    <col min="18" max="18" width="3.88671875" bestFit="1" customWidth="1"/>
    <col min="19" max="19" width="10.6640625" customWidth="1"/>
    <col min="20" max="20" width="10.33203125" bestFit="1" customWidth="1"/>
    <col min="21" max="21" width="9.77734375" bestFit="1" customWidth="1"/>
    <col min="22" max="22" width="14.33203125" bestFit="1" customWidth="1"/>
    <col min="23" max="23" width="16.44140625" bestFit="1" customWidth="1"/>
    <col min="24" max="24" width="14.88671875" bestFit="1" customWidth="1"/>
    <col min="25" max="25" width="14.33203125" bestFit="1" customWidth="1"/>
    <col min="26" max="27" width="12.33203125" style="20" bestFit="1" customWidth="1"/>
    <col min="28" max="28" width="2" customWidth="1"/>
  </cols>
  <sheetData>
    <row r="1" spans="2:28" ht="15" thickBot="1" x14ac:dyDescent="0.35"/>
    <row r="2" spans="2:28" ht="15" thickBot="1" x14ac:dyDescent="0.35">
      <c r="B2" s="175" t="s">
        <v>88</v>
      </c>
      <c r="C2" s="189"/>
      <c r="L2" s="175" t="s">
        <v>12</v>
      </c>
      <c r="M2" s="176"/>
      <c r="N2" s="176"/>
      <c r="O2" s="176"/>
      <c r="P2" s="177"/>
    </row>
    <row r="3" spans="2:28" x14ac:dyDescent="0.3">
      <c r="B3" s="147" t="s">
        <v>0</v>
      </c>
      <c r="C3" s="186">
        <v>2000000</v>
      </c>
      <c r="L3" s="136"/>
      <c r="M3" s="137"/>
      <c r="N3" s="138"/>
      <c r="O3" s="139"/>
      <c r="P3" s="138" t="s">
        <v>18</v>
      </c>
      <c r="T3" s="205" t="s">
        <v>36</v>
      </c>
      <c r="U3" s="206" t="s">
        <v>80</v>
      </c>
      <c r="V3" s="206" t="s">
        <v>81</v>
      </c>
      <c r="W3" s="206" t="s">
        <v>74</v>
      </c>
      <c r="X3" s="201"/>
      <c r="Y3" s="201"/>
      <c r="Z3" s="207"/>
      <c r="AA3" s="207"/>
      <c r="AB3" s="201"/>
    </row>
    <row r="4" spans="2:28" ht="15" thickBot="1" x14ac:dyDescent="0.35">
      <c r="B4" s="140" t="s">
        <v>10</v>
      </c>
      <c r="C4" s="187">
        <v>190</v>
      </c>
      <c r="L4" s="140" t="s">
        <v>13</v>
      </c>
      <c r="M4" s="126" t="s">
        <v>14</v>
      </c>
      <c r="N4" s="127">
        <v>0.9</v>
      </c>
      <c r="O4" s="124" t="s">
        <v>15</v>
      </c>
      <c r="P4" s="130">
        <f>24*60*N4</f>
        <v>1296</v>
      </c>
      <c r="S4" s="1"/>
      <c r="T4" s="208">
        <f>N29</f>
        <v>23</v>
      </c>
      <c r="U4" s="208">
        <f>P39</f>
        <v>45</v>
      </c>
      <c r="V4" s="209">
        <f>I66</f>
        <v>15.120236666666667</v>
      </c>
      <c r="W4" s="209">
        <f>G66</f>
        <v>7.9342699999999997</v>
      </c>
      <c r="X4" s="210" t="s">
        <v>72</v>
      </c>
      <c r="Y4" s="210" t="s">
        <v>82</v>
      </c>
      <c r="Z4" s="206" t="s">
        <v>85</v>
      </c>
      <c r="AA4" s="206" t="s">
        <v>86</v>
      </c>
      <c r="AB4" s="201"/>
    </row>
    <row r="5" spans="2:28" x14ac:dyDescent="0.3">
      <c r="B5" s="140" t="s">
        <v>11</v>
      </c>
      <c r="C5" s="151">
        <f>C3/C4</f>
        <v>10526.315789473685</v>
      </c>
      <c r="L5" s="140" t="s">
        <v>16</v>
      </c>
      <c r="M5" s="126" t="s">
        <v>15</v>
      </c>
      <c r="N5" s="128">
        <v>30</v>
      </c>
      <c r="O5" s="124" t="s">
        <v>15</v>
      </c>
      <c r="P5" s="130">
        <f>P4-N5</f>
        <v>1266</v>
      </c>
      <c r="R5" s="108" t="s">
        <v>79</v>
      </c>
      <c r="S5" s="211">
        <v>20</v>
      </c>
      <c r="T5" s="239">
        <f t="dataTable" ref="T5:W26" dt2D="0" dtr="0" r1="F15"/>
        <v>31</v>
      </c>
      <c r="U5" s="239">
        <v>53</v>
      </c>
      <c r="V5" s="240">
        <v>19.986663333333333</v>
      </c>
      <c r="W5" s="240">
        <v>10.30123</v>
      </c>
      <c r="X5" s="241">
        <f>V5*$C$3</f>
        <v>39973326.666666664</v>
      </c>
      <c r="Y5" s="241">
        <f>X5*$D$20</f>
        <v>199866633.33333331</v>
      </c>
      <c r="Z5" s="212"/>
      <c r="AA5" s="212"/>
      <c r="AB5" s="213"/>
    </row>
    <row r="6" spans="2:28" ht="15" thickBot="1" x14ac:dyDescent="0.35">
      <c r="B6" s="140" t="s">
        <v>1</v>
      </c>
      <c r="C6" s="187">
        <v>65</v>
      </c>
      <c r="L6" s="152" t="s">
        <v>17</v>
      </c>
      <c r="M6" s="153" t="s">
        <v>15</v>
      </c>
      <c r="N6" s="154">
        <v>25</v>
      </c>
      <c r="O6" s="155" t="s">
        <v>15</v>
      </c>
      <c r="P6" s="156">
        <f>P5-N6</f>
        <v>1241</v>
      </c>
      <c r="R6" s="108"/>
      <c r="S6" s="214">
        <v>21</v>
      </c>
      <c r="T6" s="242">
        <v>30</v>
      </c>
      <c r="U6" s="242">
        <v>52</v>
      </c>
      <c r="V6" s="243">
        <v>19.378360000000001</v>
      </c>
      <c r="W6" s="243">
        <v>10.00536</v>
      </c>
      <c r="X6" s="244">
        <f>V6*$C$3</f>
        <v>38756720</v>
      </c>
      <c r="Y6" s="244">
        <f>X6*$D$20</f>
        <v>193783600</v>
      </c>
      <c r="Z6" s="215">
        <f t="shared" ref="Z6:AA8" si="0">X6-X5</f>
        <v>-1216606.6666666642</v>
      </c>
      <c r="AA6" s="215">
        <f t="shared" si="0"/>
        <v>-6083033.3333333135</v>
      </c>
      <c r="AB6" s="216"/>
    </row>
    <row r="7" spans="2:28" ht="15" thickBot="1" x14ac:dyDescent="0.35">
      <c r="B7" s="140" t="s">
        <v>2</v>
      </c>
      <c r="C7" s="151">
        <f>C3/C6</f>
        <v>30769.23076923077</v>
      </c>
      <c r="L7" s="157"/>
      <c r="M7" s="158"/>
      <c r="N7" s="159"/>
      <c r="O7" s="158"/>
      <c r="P7" s="159"/>
      <c r="R7" s="108"/>
      <c r="S7" s="214">
        <v>22</v>
      </c>
      <c r="T7" s="242">
        <v>29</v>
      </c>
      <c r="U7" s="242">
        <v>51</v>
      </c>
      <c r="V7" s="243">
        <v>18.770056666666669</v>
      </c>
      <c r="W7" s="243">
        <v>9.7094900000000006</v>
      </c>
      <c r="X7" s="244">
        <f>V7*$C$3</f>
        <v>37540113.333333336</v>
      </c>
      <c r="Y7" s="244">
        <f>X7*$D$20</f>
        <v>187700566.66666669</v>
      </c>
      <c r="Z7" s="215">
        <f t="shared" si="0"/>
        <v>-1216606.6666666642</v>
      </c>
      <c r="AA7" s="215">
        <f t="shared" si="0"/>
        <v>-6083033.3333333135</v>
      </c>
      <c r="AB7" s="216"/>
    </row>
    <row r="8" spans="2:28" ht="15" thickBot="1" x14ac:dyDescent="0.35">
      <c r="B8" s="140" t="s">
        <v>3</v>
      </c>
      <c r="C8" s="187">
        <v>30</v>
      </c>
      <c r="L8" s="175" t="s">
        <v>19</v>
      </c>
      <c r="M8" s="178"/>
      <c r="N8" s="179"/>
      <c r="O8" s="178"/>
      <c r="P8" s="180"/>
      <c r="R8" s="108"/>
      <c r="S8" s="214">
        <v>23</v>
      </c>
      <c r="T8" s="242">
        <v>28</v>
      </c>
      <c r="U8" s="242">
        <v>50</v>
      </c>
      <c r="V8" s="243">
        <v>18.161753333333333</v>
      </c>
      <c r="W8" s="243">
        <v>9.4136199999999999</v>
      </c>
      <c r="X8" s="244">
        <f>V8*$C$3</f>
        <v>36323506.666666664</v>
      </c>
      <c r="Y8" s="244">
        <f>X8*$D$20</f>
        <v>181617533.33333331</v>
      </c>
      <c r="Z8" s="215">
        <f t="shared" si="0"/>
        <v>-1216606.6666666716</v>
      </c>
      <c r="AA8" s="215">
        <f t="shared" si="0"/>
        <v>-6083033.3333333731</v>
      </c>
      <c r="AB8" s="216"/>
    </row>
    <row r="9" spans="2:28" ht="15" thickBot="1" x14ac:dyDescent="0.35">
      <c r="B9" s="163" t="s">
        <v>4</v>
      </c>
      <c r="C9" s="188">
        <f>C7*C8*2</f>
        <v>1846153.8461538462</v>
      </c>
      <c r="L9" s="160" t="s">
        <v>20</v>
      </c>
      <c r="M9" s="161" t="s">
        <v>21</v>
      </c>
      <c r="N9" s="162">
        <f>$C$8</f>
        <v>30</v>
      </c>
      <c r="O9" s="92"/>
      <c r="P9" s="162"/>
      <c r="R9" s="108"/>
      <c r="S9" s="217">
        <v>24</v>
      </c>
      <c r="T9" s="245">
        <v>27</v>
      </c>
      <c r="U9" s="245">
        <v>48</v>
      </c>
      <c r="V9" s="246">
        <v>17.502120000000001</v>
      </c>
      <c r="W9" s="246">
        <v>9.066419999999999</v>
      </c>
      <c r="X9" s="247">
        <f>V9*$C$3</f>
        <v>35004240</v>
      </c>
      <c r="Y9" s="247">
        <f>X9*$D$20</f>
        <v>175021200</v>
      </c>
      <c r="Z9" s="218">
        <f t="shared" ref="Z9:AA26" si="1">X9-X8</f>
        <v>-1319266.6666666642</v>
      </c>
      <c r="AA9" s="218">
        <f t="shared" si="1"/>
        <v>-6596333.3333333135</v>
      </c>
      <c r="AB9" s="219"/>
    </row>
    <row r="10" spans="2:28" x14ac:dyDescent="0.3">
      <c r="G10" s="114" t="s">
        <v>87</v>
      </c>
      <c r="H10" s="114"/>
      <c r="L10" s="140" t="s">
        <v>22</v>
      </c>
      <c r="M10" s="126" t="s">
        <v>23</v>
      </c>
      <c r="N10" s="130">
        <f>G15</f>
        <v>40.114285714285721</v>
      </c>
      <c r="O10" s="124"/>
      <c r="P10" s="130"/>
      <c r="R10" s="108"/>
      <c r="S10" s="221">
        <v>25</v>
      </c>
      <c r="T10" s="222">
        <v>26</v>
      </c>
      <c r="U10" s="222">
        <v>47</v>
      </c>
      <c r="V10" s="223">
        <v>16.893816666666666</v>
      </c>
      <c r="W10" s="223">
        <v>8.7705500000000001</v>
      </c>
      <c r="X10" s="224">
        <f>V10*$C$3</f>
        <v>33787633.333333328</v>
      </c>
      <c r="Y10" s="224">
        <f>X10*$D$20</f>
        <v>168938166.66666663</v>
      </c>
      <c r="Z10" s="225">
        <f t="shared" si="1"/>
        <v>-1216606.6666666716</v>
      </c>
      <c r="AA10" s="225">
        <f t="shared" si="1"/>
        <v>-6083033.3333333731</v>
      </c>
      <c r="AB10" s="226"/>
    </row>
    <row r="11" spans="2:28" x14ac:dyDescent="0.3">
      <c r="G11" s="113">
        <f>45/35</f>
        <v>1.2857142857142858</v>
      </c>
      <c r="H11" s="113">
        <f>35/45</f>
        <v>0.77777777777777779</v>
      </c>
      <c r="L11" s="140" t="s">
        <v>24</v>
      </c>
      <c r="M11" s="126"/>
      <c r="N11" s="130"/>
      <c r="O11" s="124" t="s">
        <v>15</v>
      </c>
      <c r="P11" s="130">
        <f>N9/N10*60</f>
        <v>44.871794871794869</v>
      </c>
      <c r="R11" s="108"/>
      <c r="S11" s="227">
        <v>26</v>
      </c>
      <c r="T11" s="228">
        <v>26</v>
      </c>
      <c r="U11" s="228">
        <v>47</v>
      </c>
      <c r="V11" s="229">
        <v>16.893816666666666</v>
      </c>
      <c r="W11" s="229">
        <v>8.7705500000000001</v>
      </c>
      <c r="X11" s="230">
        <f>V11*$C$3</f>
        <v>33787633.333333328</v>
      </c>
      <c r="Y11" s="230">
        <f>X11*$D$20</f>
        <v>168938166.66666663</v>
      </c>
      <c r="Z11" s="231">
        <f t="shared" si="1"/>
        <v>0</v>
      </c>
      <c r="AA11" s="231">
        <f t="shared" si="1"/>
        <v>0</v>
      </c>
      <c r="AB11" s="232"/>
    </row>
    <row r="12" spans="2:28" ht="15" thickBot="1" x14ac:dyDescent="0.35">
      <c r="B12" s="4"/>
      <c r="C12" s="5"/>
      <c r="D12" s="4" t="s">
        <v>7</v>
      </c>
      <c r="E12" s="4" t="s">
        <v>8</v>
      </c>
      <c r="F12" s="4" t="s">
        <v>9</v>
      </c>
      <c r="G12" s="21" t="s">
        <v>26</v>
      </c>
      <c r="H12" s="21" t="s">
        <v>27</v>
      </c>
      <c r="I12" s="21" t="s">
        <v>9</v>
      </c>
      <c r="L12" s="140"/>
      <c r="M12" s="126"/>
      <c r="N12" s="130"/>
      <c r="O12" s="124"/>
      <c r="P12" s="130"/>
      <c r="R12" s="108"/>
      <c r="S12" s="227">
        <v>27</v>
      </c>
      <c r="T12" s="228">
        <v>25</v>
      </c>
      <c r="U12" s="228">
        <v>47</v>
      </c>
      <c r="V12" s="229">
        <v>16.336843333333334</v>
      </c>
      <c r="W12" s="229">
        <v>8.5260099999999994</v>
      </c>
      <c r="X12" s="230">
        <f>V12*$C$3</f>
        <v>32673686.666666668</v>
      </c>
      <c r="Y12" s="230">
        <f>X12*$D$20</f>
        <v>163368433.33333334</v>
      </c>
      <c r="Z12" s="231">
        <f t="shared" si="1"/>
        <v>-1113946.6666666605</v>
      </c>
      <c r="AA12" s="231">
        <f t="shared" si="1"/>
        <v>-5569733.3333332837</v>
      </c>
      <c r="AB12" s="232"/>
    </row>
    <row r="13" spans="2:28" ht="15" thickBot="1" x14ac:dyDescent="0.35">
      <c r="B13" s="6" t="s">
        <v>5</v>
      </c>
      <c r="C13" s="110">
        <v>0.6</v>
      </c>
      <c r="D13" s="8">
        <f>C13*$C$9</f>
        <v>1107692.3076923077</v>
      </c>
      <c r="E13" s="8"/>
      <c r="F13" s="111">
        <f>F15*1.2</f>
        <v>36</v>
      </c>
      <c r="G13" s="24">
        <f>F13*$G$11</f>
        <v>46.285714285714292</v>
      </c>
      <c r="H13" s="24">
        <f>F13*$H$11</f>
        <v>28</v>
      </c>
      <c r="I13" s="75">
        <f>AVERAGE(G13:H13)</f>
        <v>37.142857142857146</v>
      </c>
      <c r="L13" s="163" t="s">
        <v>25</v>
      </c>
      <c r="M13" s="164"/>
      <c r="N13" s="165"/>
      <c r="O13" s="164" t="s">
        <v>15</v>
      </c>
      <c r="P13" s="166">
        <v>30</v>
      </c>
      <c r="R13" s="108"/>
      <c r="S13" s="227">
        <v>28</v>
      </c>
      <c r="T13" s="228">
        <v>24</v>
      </c>
      <c r="U13" s="228">
        <v>46</v>
      </c>
      <c r="V13" s="229">
        <v>15.728540000000002</v>
      </c>
      <c r="W13" s="229">
        <v>8.2301400000000005</v>
      </c>
      <c r="X13" s="230">
        <f>V13*$C$3</f>
        <v>31457080.000000004</v>
      </c>
      <c r="Y13" s="230">
        <f>X13*$D$20</f>
        <v>157285400.00000003</v>
      </c>
      <c r="Z13" s="231">
        <f t="shared" si="1"/>
        <v>-1216606.6666666642</v>
      </c>
      <c r="AA13" s="231">
        <f t="shared" si="1"/>
        <v>-6083033.3333333135</v>
      </c>
      <c r="AB13" s="232"/>
    </row>
    <row r="14" spans="2:28" ht="15" thickBot="1" x14ac:dyDescent="0.35">
      <c r="B14" s="14" t="s">
        <v>6</v>
      </c>
      <c r="C14" s="76">
        <f>1-C13</f>
        <v>0.4</v>
      </c>
      <c r="D14" s="115"/>
      <c r="E14" s="115">
        <f>C14*$C$9</f>
        <v>738461.5384615385</v>
      </c>
      <c r="F14" s="112">
        <f>(F15*2)-F13</f>
        <v>24</v>
      </c>
      <c r="G14" s="25">
        <f>F14*$G$11</f>
        <v>30.857142857142861</v>
      </c>
      <c r="H14" s="25">
        <f t="shared" ref="H14" si="2">F14*$H$11</f>
        <v>18.666666666666668</v>
      </c>
      <c r="I14" s="77">
        <f>AVERAGE(G14:H14)</f>
        <v>24.761904761904766</v>
      </c>
      <c r="R14" s="108"/>
      <c r="S14" s="227">
        <v>29</v>
      </c>
      <c r="T14" s="228">
        <v>24</v>
      </c>
      <c r="U14" s="228">
        <v>46</v>
      </c>
      <c r="V14" s="229">
        <v>15.728540000000002</v>
      </c>
      <c r="W14" s="229">
        <v>8.2301400000000005</v>
      </c>
      <c r="X14" s="230">
        <f>V14*$C$3</f>
        <v>31457080.000000004</v>
      </c>
      <c r="Y14" s="230">
        <f>X14*$D$20</f>
        <v>157285400.00000003</v>
      </c>
      <c r="Z14" s="231">
        <f t="shared" si="1"/>
        <v>0</v>
      </c>
      <c r="AA14" s="231">
        <f t="shared" si="1"/>
        <v>0</v>
      </c>
      <c r="AB14" s="232"/>
    </row>
    <row r="15" spans="2:28" ht="15.6" thickTop="1" thickBot="1" x14ac:dyDescent="0.35">
      <c r="F15" s="69">
        <v>30</v>
      </c>
      <c r="G15" s="23">
        <f>SUMPRODUCT(G13:G14,C13:C14)</f>
        <v>40.114285714285721</v>
      </c>
      <c r="H15" s="23">
        <f>SUMPRODUCT(H13:H14,C13:C14)</f>
        <v>24.266666666666669</v>
      </c>
      <c r="I15" s="68">
        <f>SUMPRODUCT(I13:I14,C13:C14)</f>
        <v>32.190476190476197</v>
      </c>
      <c r="L15" s="175" t="s">
        <v>28</v>
      </c>
      <c r="M15" s="178"/>
      <c r="N15" s="179"/>
      <c r="O15" s="178"/>
      <c r="P15" s="180"/>
      <c r="R15" s="108"/>
      <c r="S15" s="227">
        <v>30</v>
      </c>
      <c r="T15" s="228">
        <v>23</v>
      </c>
      <c r="U15" s="228">
        <v>45</v>
      </c>
      <c r="V15" s="229">
        <v>15.120236666666667</v>
      </c>
      <c r="W15" s="229">
        <v>7.9342699999999997</v>
      </c>
      <c r="X15" s="230">
        <f>V15*$C$3</f>
        <v>30240473.333333336</v>
      </c>
      <c r="Y15" s="230">
        <f>X15*$D$20</f>
        <v>151202366.66666669</v>
      </c>
      <c r="Z15" s="231">
        <f t="shared" si="1"/>
        <v>-1216606.6666666679</v>
      </c>
      <c r="AA15" s="231">
        <f t="shared" si="1"/>
        <v>-6083033.3333333433</v>
      </c>
      <c r="AB15" s="232"/>
    </row>
    <row r="16" spans="2:28" ht="15" thickBot="1" x14ac:dyDescent="0.35">
      <c r="L16" s="160" t="s">
        <v>20</v>
      </c>
      <c r="M16" s="161" t="s">
        <v>21</v>
      </c>
      <c r="N16" s="162">
        <f>$C$8</f>
        <v>30</v>
      </c>
      <c r="O16" s="92"/>
      <c r="P16" s="162"/>
      <c r="R16" s="108"/>
      <c r="S16" s="227">
        <v>31</v>
      </c>
      <c r="T16" s="228">
        <v>23</v>
      </c>
      <c r="U16" s="228">
        <v>45</v>
      </c>
      <c r="V16" s="229">
        <v>15.120236666666667</v>
      </c>
      <c r="W16" s="229">
        <v>7.9342699999999997</v>
      </c>
      <c r="X16" s="230">
        <f>V16*$C$3</f>
        <v>30240473.333333336</v>
      </c>
      <c r="Y16" s="230">
        <f>X16*$D$20</f>
        <v>151202366.66666669</v>
      </c>
      <c r="Z16" s="231">
        <f t="shared" si="1"/>
        <v>0</v>
      </c>
      <c r="AA16" s="231">
        <f t="shared" si="1"/>
        <v>0</v>
      </c>
      <c r="AB16" s="232"/>
    </row>
    <row r="17" spans="2:28" x14ac:dyDescent="0.3">
      <c r="G17" s="99" t="s">
        <v>67</v>
      </c>
      <c r="H17" s="100"/>
      <c r="I17" s="101"/>
      <c r="L17" s="140" t="s">
        <v>22</v>
      </c>
      <c r="M17" s="126" t="s">
        <v>23</v>
      </c>
      <c r="N17" s="130">
        <f>H15</f>
        <v>24.266666666666669</v>
      </c>
      <c r="O17" s="124"/>
      <c r="P17" s="130"/>
      <c r="R17" s="108"/>
      <c r="S17" s="227">
        <v>32</v>
      </c>
      <c r="T17" s="228">
        <v>22</v>
      </c>
      <c r="U17" s="228">
        <v>44</v>
      </c>
      <c r="V17" s="229">
        <v>14.511933333333333</v>
      </c>
      <c r="W17" s="229">
        <v>7.6383999999999999</v>
      </c>
      <c r="X17" s="230">
        <f>V17*$C$3</f>
        <v>29023866.666666668</v>
      </c>
      <c r="Y17" s="230">
        <f>X17*$D$20</f>
        <v>145119333.33333334</v>
      </c>
      <c r="Z17" s="231">
        <f t="shared" si="1"/>
        <v>-1216606.6666666679</v>
      </c>
      <c r="AA17" s="231">
        <f t="shared" si="1"/>
        <v>-6083033.3333333433</v>
      </c>
      <c r="AB17" s="232"/>
    </row>
    <row r="18" spans="2:28" ht="15" thickBot="1" x14ac:dyDescent="0.35">
      <c r="B18" s="181" t="s">
        <v>64</v>
      </c>
      <c r="C18" s="182"/>
      <c r="D18" s="181"/>
      <c r="E18" s="181"/>
      <c r="F18" s="181" t="s">
        <v>53</v>
      </c>
      <c r="G18" s="183" t="s">
        <v>68</v>
      </c>
      <c r="H18" s="184" t="s">
        <v>69</v>
      </c>
      <c r="I18" s="185" t="s">
        <v>71</v>
      </c>
      <c r="L18" s="168" t="s">
        <v>24</v>
      </c>
      <c r="M18" s="169"/>
      <c r="N18" s="170"/>
      <c r="O18" s="171" t="s">
        <v>15</v>
      </c>
      <c r="P18" s="170">
        <f>N16/N17*60</f>
        <v>74.175824175824161</v>
      </c>
      <c r="R18" s="108"/>
      <c r="S18" s="227">
        <v>33</v>
      </c>
      <c r="T18" s="228">
        <v>22</v>
      </c>
      <c r="U18" s="228">
        <v>44</v>
      </c>
      <c r="V18" s="229">
        <v>14.511933333333333</v>
      </c>
      <c r="W18" s="229">
        <v>7.6383999999999999</v>
      </c>
      <c r="X18" s="230">
        <f>V18*$C$3</f>
        <v>29023866.666666668</v>
      </c>
      <c r="Y18" s="230">
        <f>X18*$D$20</f>
        <v>145119333.33333334</v>
      </c>
      <c r="Z18" s="231">
        <f t="shared" si="1"/>
        <v>0</v>
      </c>
      <c r="AA18" s="231">
        <f t="shared" si="1"/>
        <v>0</v>
      </c>
      <c r="AB18" s="232"/>
    </row>
    <row r="19" spans="2:28" x14ac:dyDescent="0.3">
      <c r="B19" s="6" t="s">
        <v>50</v>
      </c>
      <c r="C19" s="7" t="s">
        <v>21</v>
      </c>
      <c r="D19" s="116">
        <v>400000</v>
      </c>
      <c r="E19" s="6"/>
      <c r="F19" s="17"/>
      <c r="G19" s="32"/>
      <c r="H19" s="29"/>
      <c r="I19" s="33">
        <f>SUM(G19:H19)</f>
        <v>0</v>
      </c>
      <c r="L19" s="140"/>
      <c r="M19" s="126"/>
      <c r="N19" s="131"/>
      <c r="O19" s="124"/>
      <c r="P19" s="131"/>
      <c r="R19" s="108"/>
      <c r="S19" s="227">
        <v>34</v>
      </c>
      <c r="T19" s="228">
        <v>22</v>
      </c>
      <c r="U19" s="228">
        <v>44</v>
      </c>
      <c r="V19" s="229">
        <v>14.511933333333333</v>
      </c>
      <c r="W19" s="229">
        <v>7.6383999999999999</v>
      </c>
      <c r="X19" s="230">
        <f>V19*$C$3</f>
        <v>29023866.666666668</v>
      </c>
      <c r="Y19" s="230">
        <f>X19*$D$20</f>
        <v>145119333.33333334</v>
      </c>
      <c r="Z19" s="231">
        <f t="shared" si="1"/>
        <v>0</v>
      </c>
      <c r="AA19" s="231">
        <f t="shared" si="1"/>
        <v>0</v>
      </c>
      <c r="AB19" s="232"/>
    </row>
    <row r="20" spans="2:28" ht="15" thickBot="1" x14ac:dyDescent="0.35">
      <c r="B20" s="9" t="s">
        <v>50</v>
      </c>
      <c r="C20" s="10" t="s">
        <v>51</v>
      </c>
      <c r="D20" s="117">
        <v>5</v>
      </c>
      <c r="E20" s="9"/>
      <c r="F20" s="11"/>
      <c r="G20" s="34"/>
      <c r="H20" s="30"/>
      <c r="I20" s="35">
        <f t="shared" ref="I20:I34" si="3">SUM(G20:H20)</f>
        <v>0</v>
      </c>
      <c r="L20" s="140" t="s">
        <v>29</v>
      </c>
      <c r="M20" s="126"/>
      <c r="N20" s="131"/>
      <c r="O20" s="124" t="s">
        <v>15</v>
      </c>
      <c r="P20" s="128">
        <v>5</v>
      </c>
      <c r="R20" s="108"/>
      <c r="S20" s="233">
        <v>35</v>
      </c>
      <c r="T20" s="234">
        <v>21</v>
      </c>
      <c r="U20" s="234">
        <v>43</v>
      </c>
      <c r="V20" s="235">
        <v>13.90363</v>
      </c>
      <c r="W20" s="235">
        <v>7.34253</v>
      </c>
      <c r="X20" s="236">
        <f>V20*$C$3</f>
        <v>27807260</v>
      </c>
      <c r="Y20" s="236">
        <f>X20*$D$20</f>
        <v>139036300</v>
      </c>
      <c r="Z20" s="237">
        <f t="shared" si="1"/>
        <v>-1216606.6666666679</v>
      </c>
      <c r="AA20" s="237">
        <f t="shared" si="1"/>
        <v>-6083033.3333333433</v>
      </c>
      <c r="AB20" s="238"/>
    </row>
    <row r="21" spans="2:28" x14ac:dyDescent="0.3">
      <c r="B21" s="9" t="s">
        <v>48</v>
      </c>
      <c r="C21" s="10" t="s">
        <v>52</v>
      </c>
      <c r="D21" s="118">
        <v>800000</v>
      </c>
      <c r="E21" s="9"/>
      <c r="F21" s="11"/>
      <c r="G21" s="34"/>
      <c r="H21" s="30"/>
      <c r="I21" s="35">
        <f t="shared" si="3"/>
        <v>0</v>
      </c>
      <c r="L21" s="140"/>
      <c r="M21" s="126"/>
      <c r="N21" s="131"/>
      <c r="O21" s="124"/>
      <c r="P21" s="131"/>
      <c r="R21" s="108"/>
      <c r="S21" s="211">
        <v>36</v>
      </c>
      <c r="T21" s="239">
        <v>21</v>
      </c>
      <c r="U21" s="239">
        <v>43</v>
      </c>
      <c r="V21" s="240">
        <v>13.90363</v>
      </c>
      <c r="W21" s="240">
        <v>7.34253</v>
      </c>
      <c r="X21" s="241">
        <f>V21*$C$3</f>
        <v>27807260</v>
      </c>
      <c r="Y21" s="241">
        <f>X21*$D$20</f>
        <v>139036300</v>
      </c>
      <c r="Z21" s="220">
        <f t="shared" si="1"/>
        <v>0</v>
      </c>
      <c r="AA21" s="220">
        <f t="shared" si="1"/>
        <v>0</v>
      </c>
      <c r="AB21" s="213"/>
    </row>
    <row r="22" spans="2:28" ht="15" thickBot="1" x14ac:dyDescent="0.35">
      <c r="B22" s="9" t="s">
        <v>47</v>
      </c>
      <c r="C22" s="10" t="s">
        <v>52</v>
      </c>
      <c r="D22" s="118">
        <v>250000</v>
      </c>
      <c r="E22" s="9"/>
      <c r="F22" s="11"/>
      <c r="G22" s="34"/>
      <c r="H22" s="30"/>
      <c r="I22" s="35">
        <f t="shared" si="3"/>
        <v>0</v>
      </c>
      <c r="L22" s="141" t="s">
        <v>30</v>
      </c>
      <c r="M22" s="129"/>
      <c r="N22" s="132"/>
      <c r="O22" s="89" t="s">
        <v>15</v>
      </c>
      <c r="P22" s="143">
        <v>25</v>
      </c>
      <c r="R22" s="108"/>
      <c r="S22" s="214">
        <v>36.5</v>
      </c>
      <c r="T22" s="242">
        <v>21</v>
      </c>
      <c r="U22" s="242">
        <v>43</v>
      </c>
      <c r="V22" s="243">
        <v>13.90363</v>
      </c>
      <c r="W22" s="243">
        <v>7.34253</v>
      </c>
      <c r="X22" s="244">
        <f>V22*$C$3</f>
        <v>27807260</v>
      </c>
      <c r="Y22" s="244">
        <f>X22*$D$20</f>
        <v>139036300</v>
      </c>
      <c r="Z22" s="215">
        <f t="shared" si="1"/>
        <v>0</v>
      </c>
      <c r="AA22" s="215">
        <f t="shared" si="1"/>
        <v>0</v>
      </c>
      <c r="AB22" s="216"/>
    </row>
    <row r="23" spans="2:28" x14ac:dyDescent="0.3">
      <c r="B23" s="9" t="s">
        <v>49</v>
      </c>
      <c r="C23" s="10" t="s">
        <v>52</v>
      </c>
      <c r="D23" s="11">
        <f>D21-D22</f>
        <v>550000</v>
      </c>
      <c r="E23" s="9"/>
      <c r="F23" s="11">
        <f>D23/$D$19</f>
        <v>1.375</v>
      </c>
      <c r="G23" s="34">
        <f>D23/$D$20</f>
        <v>110000</v>
      </c>
      <c r="H23" s="30"/>
      <c r="I23" s="35">
        <f t="shared" si="3"/>
        <v>110000</v>
      </c>
      <c r="L23" s="142"/>
      <c r="M23" s="125"/>
      <c r="N23" s="6"/>
      <c r="O23" s="125"/>
      <c r="P23" s="133"/>
      <c r="R23" s="108"/>
      <c r="S23" s="214">
        <v>37</v>
      </c>
      <c r="T23" s="242">
        <v>20</v>
      </c>
      <c r="U23" s="242">
        <v>42</v>
      </c>
      <c r="V23" s="243">
        <v>13.295326666666668</v>
      </c>
      <c r="W23" s="243">
        <v>7.0466599999999993</v>
      </c>
      <c r="X23" s="244">
        <f>V23*$C$3</f>
        <v>26590653.333333336</v>
      </c>
      <c r="Y23" s="244">
        <f>X23*$D$20</f>
        <v>132953266.66666669</v>
      </c>
      <c r="Z23" s="215">
        <f t="shared" si="1"/>
        <v>-1216606.6666666642</v>
      </c>
      <c r="AA23" s="215">
        <f t="shared" si="1"/>
        <v>-6083033.3333333135</v>
      </c>
      <c r="AB23" s="216"/>
    </row>
    <row r="24" spans="2:28" ht="15" thickBot="1" x14ac:dyDescent="0.35">
      <c r="B24" s="9" t="s">
        <v>56</v>
      </c>
      <c r="C24" s="119">
        <v>0.16</v>
      </c>
      <c r="D24" s="11">
        <f>((D21+D22)/2)*C24*D20</f>
        <v>420000</v>
      </c>
      <c r="E24" s="9"/>
      <c r="F24" s="11">
        <f>D24/$D$19</f>
        <v>1.05</v>
      </c>
      <c r="G24" s="34">
        <f>D24/$D$20</f>
        <v>84000</v>
      </c>
      <c r="H24" s="30"/>
      <c r="I24" s="35">
        <f t="shared" si="3"/>
        <v>84000</v>
      </c>
      <c r="L24" s="144" t="s">
        <v>31</v>
      </c>
      <c r="M24" s="145"/>
      <c r="N24" s="167"/>
      <c r="O24" s="145" t="s">
        <v>15</v>
      </c>
      <c r="P24" s="146">
        <f>SUM(P8:P23)</f>
        <v>179.04761904761904</v>
      </c>
      <c r="R24" s="108"/>
      <c r="S24" s="214">
        <v>37.5</v>
      </c>
      <c r="T24" s="242">
        <v>20</v>
      </c>
      <c r="U24" s="242">
        <v>42</v>
      </c>
      <c r="V24" s="243">
        <v>13.295326666666668</v>
      </c>
      <c r="W24" s="243">
        <v>7.0466599999999993</v>
      </c>
      <c r="X24" s="244">
        <f>V24*$C$3</f>
        <v>26590653.333333336</v>
      </c>
      <c r="Y24" s="244">
        <f>X24*$D$20</f>
        <v>132953266.66666669</v>
      </c>
      <c r="Z24" s="215">
        <f t="shared" si="1"/>
        <v>0</v>
      </c>
      <c r="AA24" s="215">
        <f t="shared" si="1"/>
        <v>0</v>
      </c>
      <c r="AB24" s="216"/>
    </row>
    <row r="25" spans="2:28" ht="15" thickBot="1" x14ac:dyDescent="0.35">
      <c r="B25" s="9" t="s">
        <v>57</v>
      </c>
      <c r="C25" s="10" t="s">
        <v>32</v>
      </c>
      <c r="D25" s="109">
        <v>3.6</v>
      </c>
      <c r="E25" s="9"/>
      <c r="F25" s="11"/>
      <c r="G25" s="34"/>
      <c r="H25" s="30"/>
      <c r="I25" s="35">
        <f t="shared" si="3"/>
        <v>0</v>
      </c>
      <c r="R25" s="108"/>
      <c r="S25" s="214">
        <v>38</v>
      </c>
      <c r="T25" s="242">
        <v>20</v>
      </c>
      <c r="U25" s="242">
        <v>42</v>
      </c>
      <c r="V25" s="243">
        <v>13.295326666666668</v>
      </c>
      <c r="W25" s="243">
        <v>7.0466599999999993</v>
      </c>
      <c r="X25" s="244">
        <f>V25*$C$3</f>
        <v>26590653.333333336</v>
      </c>
      <c r="Y25" s="244">
        <f>X25*$D$20</f>
        <v>132953266.66666669</v>
      </c>
      <c r="Z25" s="215">
        <f t="shared" si="1"/>
        <v>0</v>
      </c>
      <c r="AA25" s="215">
        <f t="shared" si="1"/>
        <v>0</v>
      </c>
      <c r="AB25" s="216"/>
    </row>
    <row r="26" spans="2:28" ht="15" thickBot="1" x14ac:dyDescent="0.35">
      <c r="B26" s="9" t="s">
        <v>57</v>
      </c>
      <c r="C26" s="10" t="s">
        <v>58</v>
      </c>
      <c r="D26" s="109">
        <v>6275</v>
      </c>
      <c r="E26" s="9"/>
      <c r="F26" s="11"/>
      <c r="G26" s="34"/>
      <c r="H26" s="30"/>
      <c r="I26" s="35">
        <f t="shared" si="3"/>
        <v>0</v>
      </c>
      <c r="L26" s="202" t="s">
        <v>92</v>
      </c>
      <c r="M26" s="203"/>
      <c r="N26" s="204"/>
      <c r="O26" s="20"/>
      <c r="R26" s="108"/>
      <c r="S26" s="217">
        <v>39</v>
      </c>
      <c r="T26" s="245">
        <v>20</v>
      </c>
      <c r="U26" s="245">
        <v>42</v>
      </c>
      <c r="V26" s="246">
        <v>13.295326666666668</v>
      </c>
      <c r="W26" s="246">
        <v>7.0466599999999993</v>
      </c>
      <c r="X26" s="247">
        <f>V26*$C$3</f>
        <v>26590653.333333336</v>
      </c>
      <c r="Y26" s="247">
        <f>X26*$D$20</f>
        <v>132953266.66666669</v>
      </c>
      <c r="Z26" s="218">
        <f t="shared" si="1"/>
        <v>0</v>
      </c>
      <c r="AA26" s="218">
        <f t="shared" si="1"/>
        <v>0</v>
      </c>
      <c r="AB26" s="219"/>
    </row>
    <row r="27" spans="2:28" x14ac:dyDescent="0.3">
      <c r="B27" s="9" t="s">
        <v>57</v>
      </c>
      <c r="C27" s="10" t="s">
        <v>52</v>
      </c>
      <c r="D27" s="12">
        <f>D26*D25*12*D20</f>
        <v>1355400</v>
      </c>
      <c r="E27" s="9"/>
      <c r="F27" s="11">
        <f>D27/$D$19</f>
        <v>3.3885000000000001</v>
      </c>
      <c r="G27" s="34">
        <f>F27*($D$19/$D$20)</f>
        <v>271080</v>
      </c>
      <c r="H27" s="30"/>
      <c r="I27" s="35">
        <f t="shared" si="3"/>
        <v>271080</v>
      </c>
      <c r="L27" s="70" t="s">
        <v>33</v>
      </c>
      <c r="M27" s="122" t="s">
        <v>32</v>
      </c>
      <c r="N27" s="198">
        <f>P6/P24</f>
        <v>6.931117021276596</v>
      </c>
      <c r="O27" s="20"/>
      <c r="S27" s="2"/>
    </row>
    <row r="28" spans="2:28" x14ac:dyDescent="0.3">
      <c r="B28" s="9" t="s">
        <v>59</v>
      </c>
      <c r="C28" s="10" t="s">
        <v>60</v>
      </c>
      <c r="D28" s="120">
        <v>1.2</v>
      </c>
      <c r="E28" s="9"/>
      <c r="F28" s="11"/>
      <c r="G28" s="34"/>
      <c r="H28" s="30"/>
      <c r="I28" s="35">
        <f t="shared" si="3"/>
        <v>0</v>
      </c>
      <c r="L28" s="71" t="s">
        <v>34</v>
      </c>
      <c r="M28" s="89" t="s">
        <v>35</v>
      </c>
      <c r="N28" s="200">
        <f>N27*$C$6</f>
        <v>450.52260638297872</v>
      </c>
      <c r="O28" s="20"/>
      <c r="S28" s="83" t="s">
        <v>83</v>
      </c>
      <c r="T28" s="84"/>
      <c r="U28" s="84"/>
      <c r="V28" s="84"/>
      <c r="W28" s="84"/>
      <c r="X28" s="84"/>
      <c r="Y28" s="84"/>
      <c r="Z28" s="85"/>
      <c r="AA28" s="86"/>
    </row>
    <row r="29" spans="2:28" x14ac:dyDescent="0.3">
      <c r="B29" s="9" t="s">
        <v>59</v>
      </c>
      <c r="C29" s="10" t="s">
        <v>61</v>
      </c>
      <c r="D29" s="13">
        <f>D19/D28</f>
        <v>333333.33333333337</v>
      </c>
      <c r="E29" s="9"/>
      <c r="F29" s="11"/>
      <c r="G29" s="34"/>
      <c r="H29" s="30"/>
      <c r="I29" s="35">
        <f t="shared" si="3"/>
        <v>0</v>
      </c>
      <c r="L29" s="71" t="s">
        <v>36</v>
      </c>
      <c r="M29" s="89" t="s">
        <v>32</v>
      </c>
      <c r="N29" s="200">
        <f>ROUND(C5/N28,0)</f>
        <v>23</v>
      </c>
      <c r="O29" s="20"/>
      <c r="S29" s="87"/>
      <c r="T29" s="88" t="str">
        <f>T3</f>
        <v>Caminhões</v>
      </c>
      <c r="U29" s="88" t="str">
        <f t="shared" ref="U29:W29" si="4">U3</f>
        <v>Conjuntos</v>
      </c>
      <c r="V29" s="88" t="str">
        <f t="shared" si="4"/>
        <v>R$/Ton</v>
      </c>
      <c r="W29" s="88" t="str">
        <f t="shared" si="4"/>
        <v>R$/Ton Fixo</v>
      </c>
      <c r="X29" s="88" t="str">
        <f>X4</f>
        <v>Safra</v>
      </c>
      <c r="Y29" s="88" t="str">
        <f>Y4</f>
        <v>Ciclo</v>
      </c>
      <c r="Z29" s="89"/>
      <c r="AA29" s="90"/>
    </row>
    <row r="30" spans="2:28" ht="15" thickBot="1" x14ac:dyDescent="0.35">
      <c r="B30" s="9" t="s">
        <v>59</v>
      </c>
      <c r="C30" s="10" t="s">
        <v>62</v>
      </c>
      <c r="D30" s="118">
        <v>6.19</v>
      </c>
      <c r="E30" s="9"/>
      <c r="F30" s="11"/>
      <c r="G30" s="34"/>
      <c r="H30" s="30"/>
      <c r="I30" s="35">
        <f t="shared" si="3"/>
        <v>0</v>
      </c>
      <c r="L30" s="73" t="s">
        <v>36</v>
      </c>
      <c r="M30" s="123" t="s">
        <v>70</v>
      </c>
      <c r="N30" s="199">
        <f>$C$3/N29</f>
        <v>86956.521739130432</v>
      </c>
      <c r="O30" s="20"/>
      <c r="S30" s="87"/>
      <c r="T30" s="193">
        <f>MAX(T10:T20)-MIN(T10:T20)</f>
        <v>5</v>
      </c>
      <c r="U30" s="193">
        <f>MAX(U10:U20)-MIN(U10:U20)</f>
        <v>4</v>
      </c>
      <c r="V30" s="19">
        <f>MAX(V10:V20)-MIN(V10:V20)</f>
        <v>2.9901866666666663</v>
      </c>
      <c r="W30" s="19">
        <f>MAX(W10:W20)-MIN(W10:W20)</f>
        <v>1.4280200000000001</v>
      </c>
      <c r="X30" s="72">
        <f>MAX(X10:X20)-MIN(X10:X20)</f>
        <v>5980373.3333333284</v>
      </c>
      <c r="Y30" s="72">
        <f>MAX(Y10:Y20)-MIN(Y10:Y20)</f>
        <v>29901866.666666627</v>
      </c>
      <c r="Z30" s="197"/>
      <c r="AA30" s="90"/>
    </row>
    <row r="31" spans="2:28" ht="15" thickBot="1" x14ac:dyDescent="0.35">
      <c r="B31" s="9" t="s">
        <v>59</v>
      </c>
      <c r="C31" s="10" t="s">
        <v>52</v>
      </c>
      <c r="D31" s="11">
        <f>D29*D30</f>
        <v>2063333.3333333337</v>
      </c>
      <c r="E31" s="9"/>
      <c r="F31" s="11">
        <f>D31/$D$19</f>
        <v>5.1583333333333341</v>
      </c>
      <c r="G31" s="34"/>
      <c r="H31" s="30">
        <f>F31*($D$19/$D$20)</f>
        <v>412666.66666666674</v>
      </c>
      <c r="I31" s="35">
        <f t="shared" si="3"/>
        <v>412666.66666666674</v>
      </c>
      <c r="S31" s="91"/>
      <c r="T31" s="78"/>
      <c r="U31" s="78"/>
      <c r="V31" s="98">
        <f>V30*C3</f>
        <v>5980373.333333333</v>
      </c>
      <c r="W31" s="98">
        <f>W30*C3</f>
        <v>2856040</v>
      </c>
      <c r="X31" s="79"/>
      <c r="Y31" s="78"/>
      <c r="Z31" s="92"/>
      <c r="AA31" s="93"/>
    </row>
    <row r="32" spans="2:28" ht="15" thickBot="1" x14ac:dyDescent="0.35">
      <c r="B32" s="9" t="s">
        <v>45</v>
      </c>
      <c r="C32" s="10" t="s">
        <v>52</v>
      </c>
      <c r="D32" s="118">
        <f>D21</f>
        <v>800000</v>
      </c>
      <c r="E32" s="9"/>
      <c r="F32" s="11">
        <f>D32/$D$19</f>
        <v>2</v>
      </c>
      <c r="G32" s="34"/>
      <c r="H32" s="30">
        <f>F32*($D$19/$D$20)</f>
        <v>160000</v>
      </c>
      <c r="I32" s="35">
        <f t="shared" si="3"/>
        <v>160000</v>
      </c>
      <c r="L32" s="175" t="s">
        <v>37</v>
      </c>
      <c r="M32" s="178"/>
      <c r="N32" s="176"/>
      <c r="O32" s="178"/>
      <c r="P32" s="177"/>
      <c r="S32" s="83"/>
      <c r="T32" s="84" t="s">
        <v>84</v>
      </c>
      <c r="U32" s="84"/>
      <c r="V32" s="84"/>
      <c r="W32" s="84"/>
      <c r="X32" s="84"/>
      <c r="Y32" s="84"/>
      <c r="Z32" s="85"/>
      <c r="AA32" s="86"/>
    </row>
    <row r="33" spans="2:27" ht="15" thickBot="1" x14ac:dyDescent="0.35">
      <c r="B33" s="14" t="s">
        <v>63</v>
      </c>
      <c r="C33" s="15" t="s">
        <v>52</v>
      </c>
      <c r="D33" s="121">
        <f>D21*15%</f>
        <v>120000</v>
      </c>
      <c r="E33" s="14"/>
      <c r="F33" s="16">
        <f>D33/$D$19</f>
        <v>0.3</v>
      </c>
      <c r="G33" s="36">
        <f>F33*($D$19/$D$20)</f>
        <v>24000</v>
      </c>
      <c r="H33" s="31"/>
      <c r="I33" s="37">
        <f t="shared" si="3"/>
        <v>24000</v>
      </c>
      <c r="L33" s="147" t="s">
        <v>38</v>
      </c>
      <c r="M33" s="148" t="s">
        <v>32</v>
      </c>
      <c r="N33" s="172">
        <v>5</v>
      </c>
      <c r="O33" s="150"/>
      <c r="P33" s="149"/>
      <c r="S33" s="94"/>
      <c r="T33" s="194">
        <f>MAX(S10:S20)-MIN(S10:S20)</f>
        <v>10</v>
      </c>
      <c r="U33" s="95"/>
      <c r="V33" s="95"/>
      <c r="W33" s="95"/>
      <c r="X33" s="95"/>
      <c r="Y33" s="95"/>
      <c r="Z33" s="96"/>
      <c r="AA33" s="97"/>
    </row>
    <row r="34" spans="2:27" ht="15.6" thickTop="1" thickBot="1" x14ac:dyDescent="0.35">
      <c r="B34" s="4"/>
      <c r="C34" s="5"/>
      <c r="D34" s="4"/>
      <c r="E34" s="4"/>
      <c r="F34" s="18">
        <f>SUM(F19:F33)</f>
        <v>13.271833333333333</v>
      </c>
      <c r="G34" s="51">
        <f>SUM(G19:G33)</f>
        <v>489080</v>
      </c>
      <c r="H34" s="52">
        <f>SUM(H19:H33)</f>
        <v>572666.66666666674</v>
      </c>
      <c r="I34" s="38">
        <f t="shared" si="3"/>
        <v>1061746.6666666667</v>
      </c>
      <c r="L34" s="140" t="s">
        <v>39</v>
      </c>
      <c r="M34" s="126" t="s">
        <v>32</v>
      </c>
      <c r="N34" s="173">
        <v>2</v>
      </c>
      <c r="O34" s="124" t="s">
        <v>40</v>
      </c>
      <c r="P34" s="131">
        <f>N34*N33</f>
        <v>10</v>
      </c>
      <c r="S34" s="87"/>
      <c r="T34" s="88" t="str">
        <f>T29</f>
        <v>Caminhões</v>
      </c>
      <c r="U34" s="88" t="str">
        <f t="shared" ref="U34" si="5">U29</f>
        <v>Conjuntos</v>
      </c>
      <c r="V34" s="88" t="s">
        <v>89</v>
      </c>
      <c r="W34" s="88" t="s">
        <v>97</v>
      </c>
      <c r="X34" s="88" t="s">
        <v>90</v>
      </c>
      <c r="Y34" s="88" t="s">
        <v>91</v>
      </c>
      <c r="Z34" s="89"/>
      <c r="AA34" s="90"/>
    </row>
    <row r="35" spans="2:27" x14ac:dyDescent="0.3">
      <c r="B35" s="4"/>
      <c r="C35" s="5"/>
      <c r="D35" s="4"/>
      <c r="E35" s="4"/>
      <c r="F35" s="18"/>
      <c r="G35" s="102" t="s">
        <v>73</v>
      </c>
      <c r="H35" s="103"/>
      <c r="I35" s="104"/>
      <c r="L35" s="140" t="s">
        <v>41</v>
      </c>
      <c r="M35" s="126" t="s">
        <v>42</v>
      </c>
      <c r="N35" s="173">
        <v>1.5</v>
      </c>
      <c r="O35" s="124" t="s">
        <v>40</v>
      </c>
      <c r="P35" s="131">
        <f>ROUND($C$5/24/$C$6*N35,0)</f>
        <v>10</v>
      </c>
      <c r="S35" s="91"/>
      <c r="T35" s="79">
        <f>T30/$T$33</f>
        <v>0.5</v>
      </c>
      <c r="U35" s="79">
        <f>U30/$T$33</f>
        <v>0.4</v>
      </c>
      <c r="V35" s="98">
        <f>V30/$T$33</f>
        <v>0.29901866666666665</v>
      </c>
      <c r="W35" s="98">
        <f>W30/$T$33</f>
        <v>0.14280200000000001</v>
      </c>
      <c r="X35" s="98">
        <f>X30/$T$33</f>
        <v>598037.33333333279</v>
      </c>
      <c r="Y35" s="98">
        <f>Y30/$T$33</f>
        <v>2990186.6666666628</v>
      </c>
      <c r="Z35" s="92"/>
      <c r="AA35" s="93"/>
    </row>
    <row r="36" spans="2:27" ht="15.6" x14ac:dyDescent="0.3">
      <c r="B36" s="4"/>
      <c r="C36" s="5"/>
      <c r="D36" s="4"/>
      <c r="E36" s="4"/>
      <c r="F36" s="18"/>
      <c r="G36" s="105">
        <f>N30</f>
        <v>86956.521739130432</v>
      </c>
      <c r="H36" s="106"/>
      <c r="I36" s="107"/>
      <c r="L36" s="140" t="s">
        <v>43</v>
      </c>
      <c r="M36" s="126"/>
      <c r="N36" s="131"/>
      <c r="O36" s="124" t="s">
        <v>40</v>
      </c>
      <c r="P36" s="131">
        <f>ROUND(N29*N4,0)</f>
        <v>21</v>
      </c>
      <c r="S36" s="195"/>
      <c r="T36" s="80"/>
      <c r="U36" s="80"/>
      <c r="V36" s="80"/>
      <c r="W36" s="248">
        <f>W35*C3</f>
        <v>285604</v>
      </c>
      <c r="X36" s="80"/>
      <c r="Y36" s="80"/>
      <c r="Z36" s="155"/>
      <c r="AA36" s="196"/>
    </row>
    <row r="37" spans="2:27" ht="15" thickBot="1" x14ac:dyDescent="0.35">
      <c r="B37" s="4"/>
      <c r="C37" s="5"/>
      <c r="D37" s="4"/>
      <c r="E37" s="4"/>
      <c r="F37" s="18"/>
      <c r="G37" s="42" t="s">
        <v>74</v>
      </c>
      <c r="H37" s="43" t="s">
        <v>75</v>
      </c>
      <c r="I37" s="44" t="s">
        <v>76</v>
      </c>
      <c r="L37" s="168" t="s">
        <v>44</v>
      </c>
      <c r="M37" s="169"/>
      <c r="N37" s="174"/>
      <c r="O37" s="171" t="s">
        <v>40</v>
      </c>
      <c r="P37" s="174">
        <f>SUM(P34:P36)</f>
        <v>41</v>
      </c>
      <c r="S37" s="87"/>
      <c r="T37" s="74"/>
      <c r="U37" s="74"/>
      <c r="V37" s="74"/>
      <c r="W37" s="74"/>
      <c r="X37" s="19"/>
      <c r="Y37" s="19"/>
      <c r="Z37" s="89"/>
      <c r="AA37" s="90"/>
    </row>
    <row r="38" spans="2:27" x14ac:dyDescent="0.3">
      <c r="B38" s="4"/>
      <c r="C38" s="5"/>
      <c r="D38" s="4"/>
      <c r="E38" s="4"/>
      <c r="F38" s="18"/>
      <c r="G38" s="45">
        <f>G34/$G$36</f>
        <v>5.6244199999999998</v>
      </c>
      <c r="H38" s="46">
        <f>H34/$G$36</f>
        <v>6.5856666666666674</v>
      </c>
      <c r="I38" s="47">
        <f>I34/$G$36</f>
        <v>12.210086666666667</v>
      </c>
      <c r="L38" s="140" t="s">
        <v>45</v>
      </c>
      <c r="M38" s="126"/>
      <c r="N38" s="131"/>
      <c r="O38" s="124" t="s">
        <v>40</v>
      </c>
      <c r="P38" s="173">
        <f>ROUND(P37*(1-N4),0)</f>
        <v>4</v>
      </c>
      <c r="S38" s="91"/>
      <c r="T38" s="78"/>
      <c r="U38" s="78"/>
      <c r="V38" s="78"/>
      <c r="W38" s="78"/>
      <c r="X38" s="78"/>
      <c r="Y38" s="78"/>
      <c r="Z38" s="92"/>
      <c r="AA38" s="93"/>
    </row>
    <row r="39" spans="2:27" ht="15" thickBot="1" x14ac:dyDescent="0.35">
      <c r="B39" s="4"/>
      <c r="C39" s="5"/>
      <c r="D39" s="4"/>
      <c r="E39" s="4"/>
      <c r="F39" s="18"/>
      <c r="G39" s="39">
        <f>G38/$I$38</f>
        <v>0.46063718903442125</v>
      </c>
      <c r="H39" s="40">
        <f>H38/$I$38</f>
        <v>0.53936281096557881</v>
      </c>
      <c r="I39" s="41"/>
      <c r="L39" s="140" t="s">
        <v>46</v>
      </c>
      <c r="M39" s="126"/>
      <c r="N39" s="131"/>
      <c r="O39" s="171" t="s">
        <v>40</v>
      </c>
      <c r="P39" s="131">
        <f>SUM(P37:P38)</f>
        <v>45</v>
      </c>
    </row>
    <row r="40" spans="2:27" x14ac:dyDescent="0.3">
      <c r="G40" s="99" t="s">
        <v>72</v>
      </c>
      <c r="H40" s="100"/>
      <c r="I40" s="101"/>
      <c r="L40" s="140" t="s">
        <v>54</v>
      </c>
      <c r="M40" s="126"/>
      <c r="N40" s="131"/>
      <c r="O40" s="124" t="s">
        <v>55</v>
      </c>
      <c r="P40" s="151">
        <f>P39/N29</f>
        <v>1.9565217391304348</v>
      </c>
    </row>
    <row r="41" spans="2:27" ht="15" thickBot="1" x14ac:dyDescent="0.35">
      <c r="G41" s="48">
        <f>G34*$N$29</f>
        <v>11248840</v>
      </c>
      <c r="H41" s="49">
        <f>H38*$C$3</f>
        <v>13171333.333333336</v>
      </c>
      <c r="I41" s="50">
        <f>SUM(G41:H41)</f>
        <v>24420173.333333336</v>
      </c>
      <c r="L41" s="144"/>
      <c r="M41" s="134"/>
      <c r="N41" s="135"/>
      <c r="O41" s="145"/>
      <c r="P41" s="135"/>
    </row>
    <row r="42" spans="2:27" s="4" customFormat="1" ht="15" thickBot="1" x14ac:dyDescent="0.35">
      <c r="B42"/>
      <c r="C42" s="1"/>
      <c r="D42"/>
      <c r="E42"/>
      <c r="F42"/>
      <c r="G42" s="20"/>
      <c r="H42" s="20"/>
      <c r="I42" s="20"/>
      <c r="J42" s="21"/>
      <c r="K42" s="21"/>
      <c r="Z42" s="21"/>
      <c r="AA42" s="21"/>
    </row>
    <row r="43" spans="2:27" x14ac:dyDescent="0.3">
      <c r="G43" s="99" t="s">
        <v>67</v>
      </c>
      <c r="H43" s="100"/>
      <c r="I43" s="101"/>
    </row>
    <row r="44" spans="2:27" ht="15" thickBot="1" x14ac:dyDescent="0.35">
      <c r="B44" s="181" t="s">
        <v>65</v>
      </c>
      <c r="C44" s="182"/>
      <c r="D44" s="181"/>
      <c r="E44" s="181"/>
      <c r="F44" s="181" t="s">
        <v>53</v>
      </c>
      <c r="G44" s="183" t="s">
        <v>68</v>
      </c>
      <c r="H44" s="184" t="s">
        <v>69</v>
      </c>
      <c r="I44" s="185" t="s">
        <v>71</v>
      </c>
    </row>
    <row r="45" spans="2:27" x14ac:dyDescent="0.3">
      <c r="B45" s="6" t="s">
        <v>50</v>
      </c>
      <c r="C45" s="7" t="s">
        <v>21</v>
      </c>
      <c r="D45" s="8">
        <f>D19/$P$40</f>
        <v>204444.44444444444</v>
      </c>
      <c r="E45" s="6"/>
      <c r="F45" s="17"/>
      <c r="G45" s="56"/>
      <c r="H45" s="26"/>
      <c r="I45" s="57">
        <f t="shared" ref="I45" si="6">SUM(G45:H45)</f>
        <v>0</v>
      </c>
    </row>
    <row r="46" spans="2:27" x14ac:dyDescent="0.3">
      <c r="B46" s="9" t="s">
        <v>50</v>
      </c>
      <c r="C46" s="10" t="s">
        <v>51</v>
      </c>
      <c r="D46" s="117">
        <v>5</v>
      </c>
      <c r="E46" s="9"/>
      <c r="F46" s="11"/>
      <c r="G46" s="58"/>
      <c r="H46" s="27"/>
      <c r="I46" s="59">
        <f>SUM(G46:H46)</f>
        <v>0</v>
      </c>
    </row>
    <row r="47" spans="2:27" x14ac:dyDescent="0.3">
      <c r="B47" s="9" t="s">
        <v>48</v>
      </c>
      <c r="C47" s="10" t="s">
        <v>52</v>
      </c>
      <c r="D47" s="118">
        <v>435000</v>
      </c>
      <c r="E47" s="9"/>
      <c r="F47" s="11"/>
      <c r="G47" s="58"/>
      <c r="H47" s="27"/>
      <c r="I47" s="59">
        <f t="shared" ref="I47:I52" si="7">SUM(G47:H47)</f>
        <v>0</v>
      </c>
    </row>
    <row r="48" spans="2:27" x14ac:dyDescent="0.3">
      <c r="B48" s="9" t="s">
        <v>47</v>
      </c>
      <c r="C48" s="10" t="s">
        <v>52</v>
      </c>
      <c r="D48" s="118">
        <f>D47*0.45</f>
        <v>195750</v>
      </c>
      <c r="E48" s="9"/>
      <c r="F48" s="11"/>
      <c r="G48" s="58"/>
      <c r="H48" s="27"/>
      <c r="I48" s="59">
        <f t="shared" si="7"/>
        <v>0</v>
      </c>
    </row>
    <row r="49" spans="2:9" x14ac:dyDescent="0.3">
      <c r="B49" s="9" t="s">
        <v>49</v>
      </c>
      <c r="C49" s="10" t="s">
        <v>52</v>
      </c>
      <c r="D49" s="11">
        <f>D47-D48</f>
        <v>239250</v>
      </c>
      <c r="E49" s="9"/>
      <c r="F49" s="11">
        <f>D49/$D$19</f>
        <v>0.59812500000000002</v>
      </c>
      <c r="G49" s="58">
        <f>D49/D46</f>
        <v>47850</v>
      </c>
      <c r="H49" s="27"/>
      <c r="I49" s="59">
        <f t="shared" si="7"/>
        <v>47850</v>
      </c>
    </row>
    <row r="50" spans="2:9" x14ac:dyDescent="0.3">
      <c r="B50" s="9" t="s">
        <v>56</v>
      </c>
      <c r="C50" s="119">
        <v>0.16</v>
      </c>
      <c r="D50" s="11">
        <f>((D47+D48)/2)*C50*D46</f>
        <v>252300</v>
      </c>
      <c r="E50" s="9"/>
      <c r="F50" s="11">
        <f>D50/$D$19</f>
        <v>0.63075000000000003</v>
      </c>
      <c r="G50" s="58">
        <f>D50/D46</f>
        <v>50460</v>
      </c>
      <c r="H50" s="27"/>
      <c r="I50" s="59">
        <f t="shared" si="7"/>
        <v>50460</v>
      </c>
    </row>
    <row r="51" spans="2:9" x14ac:dyDescent="0.3">
      <c r="B51" s="9" t="s">
        <v>45</v>
      </c>
      <c r="C51" s="10" t="s">
        <v>52</v>
      </c>
      <c r="D51" s="118">
        <f>D47*0.6</f>
        <v>261000</v>
      </c>
      <c r="E51" s="9"/>
      <c r="F51" s="11">
        <f>D51/$D$19</f>
        <v>0.65249999999999997</v>
      </c>
      <c r="G51" s="58"/>
      <c r="H51" s="27">
        <f>F51*(D45/D46)</f>
        <v>26680</v>
      </c>
      <c r="I51" s="59">
        <f t="shared" si="7"/>
        <v>26680</v>
      </c>
    </row>
    <row r="52" spans="2:9" ht="15" thickBot="1" x14ac:dyDescent="0.35">
      <c r="B52" s="14" t="s">
        <v>63</v>
      </c>
      <c r="C52" s="15" t="s">
        <v>52</v>
      </c>
      <c r="D52" s="121">
        <f>D47*5%</f>
        <v>21750</v>
      </c>
      <c r="E52" s="14"/>
      <c r="F52" s="16">
        <f>D52/$D$19</f>
        <v>5.4375E-2</v>
      </c>
      <c r="G52" s="60">
        <f>D52/D46</f>
        <v>4350</v>
      </c>
      <c r="H52" s="28"/>
      <c r="I52" s="61">
        <f t="shared" si="7"/>
        <v>4350</v>
      </c>
    </row>
    <row r="53" spans="2:9" ht="15.6" thickTop="1" thickBot="1" x14ac:dyDescent="0.35">
      <c r="B53" s="4"/>
      <c r="C53" s="5"/>
      <c r="D53" s="4"/>
      <c r="E53" s="4"/>
      <c r="F53" s="18">
        <f>SUM(F45:F52)</f>
        <v>1.9357499999999999</v>
      </c>
      <c r="G53" s="53">
        <f>SUM(G45:G52)</f>
        <v>102660</v>
      </c>
      <c r="H53" s="54">
        <f>SUM(H45:H52)</f>
        <v>26680</v>
      </c>
      <c r="I53" s="55">
        <f t="shared" ref="I53" si="8">SUM(G53:H53)</f>
        <v>129340</v>
      </c>
    </row>
    <row r="54" spans="2:9" ht="15" thickBot="1" x14ac:dyDescent="0.35">
      <c r="G54" s="102" t="s">
        <v>73</v>
      </c>
      <c r="H54" s="103"/>
      <c r="I54" s="104"/>
    </row>
    <row r="55" spans="2:9" ht="16.2" thickBot="1" x14ac:dyDescent="0.35">
      <c r="B55" s="62" t="s">
        <v>66</v>
      </c>
      <c r="C55" s="63"/>
      <c r="D55" s="64"/>
      <c r="E55" s="64"/>
      <c r="F55" s="65">
        <f>F53+F34</f>
        <v>15.207583333333334</v>
      </c>
      <c r="G55" s="105">
        <f>G36/P40</f>
        <v>44444.444444444445</v>
      </c>
      <c r="H55" s="106"/>
      <c r="I55" s="107"/>
    </row>
    <row r="56" spans="2:9" ht="15" thickBot="1" x14ac:dyDescent="0.35">
      <c r="G56" s="42" t="s">
        <v>74</v>
      </c>
      <c r="H56" s="43" t="s">
        <v>75</v>
      </c>
      <c r="I56" s="44" t="s">
        <v>76</v>
      </c>
    </row>
    <row r="57" spans="2:9" x14ac:dyDescent="0.3">
      <c r="G57" s="45">
        <f>G53/$G$55</f>
        <v>2.30985</v>
      </c>
      <c r="H57" s="46">
        <f>H53/$G$55</f>
        <v>0.60029999999999994</v>
      </c>
      <c r="I57" s="47">
        <f>I53/$G$55</f>
        <v>2.9101499999999998</v>
      </c>
    </row>
    <row r="58" spans="2:9" ht="15" thickBot="1" x14ac:dyDescent="0.35">
      <c r="G58" s="39">
        <f>G57/$I$57</f>
        <v>0.79372197309417047</v>
      </c>
      <c r="H58" s="40">
        <f>H57/$I$57</f>
        <v>0.20627802690582958</v>
      </c>
      <c r="I58" s="41"/>
    </row>
    <row r="59" spans="2:9" x14ac:dyDescent="0.3">
      <c r="G59" s="99" t="s">
        <v>72</v>
      </c>
      <c r="H59" s="100"/>
      <c r="I59" s="101"/>
    </row>
    <row r="60" spans="2:9" ht="15" thickBot="1" x14ac:dyDescent="0.35">
      <c r="G60" s="48">
        <f>G53*$P$39</f>
        <v>4619700</v>
      </c>
      <c r="H60" s="49">
        <f>H57*$C$3</f>
        <v>1200600</v>
      </c>
      <c r="I60" s="50">
        <f>SUM(G60:H60)</f>
        <v>5820300</v>
      </c>
    </row>
    <row r="61" spans="2:9" x14ac:dyDescent="0.3">
      <c r="I61" s="22"/>
    </row>
    <row r="63" spans="2:9" ht="15" thickBot="1" x14ac:dyDescent="0.35">
      <c r="F63" s="4"/>
      <c r="G63" s="21" t="s">
        <v>68</v>
      </c>
      <c r="H63" s="21" t="s">
        <v>69</v>
      </c>
      <c r="I63" s="21" t="s">
        <v>71</v>
      </c>
    </row>
    <row r="64" spans="2:9" x14ac:dyDescent="0.3">
      <c r="F64" s="81" t="s">
        <v>77</v>
      </c>
      <c r="G64" s="190">
        <f>G38</f>
        <v>5.6244199999999998</v>
      </c>
      <c r="H64" s="190">
        <f>H38</f>
        <v>6.5856666666666674</v>
      </c>
      <c r="I64" s="190">
        <f>SUM(G64:H64)</f>
        <v>12.210086666666667</v>
      </c>
    </row>
    <row r="65" spans="6:9" ht="15" thickBot="1" x14ac:dyDescent="0.35">
      <c r="F65" s="82" t="s">
        <v>78</v>
      </c>
      <c r="G65" s="191">
        <f>G57</f>
        <v>2.30985</v>
      </c>
      <c r="H65" s="191">
        <f>H57</f>
        <v>0.60029999999999994</v>
      </c>
      <c r="I65" s="191">
        <f>SUM(G65:H65)</f>
        <v>2.9101499999999998</v>
      </c>
    </row>
    <row r="66" spans="6:9" ht="15" thickTop="1" x14ac:dyDescent="0.3">
      <c r="G66" s="192">
        <f>SUM(G64:G65)</f>
        <v>7.9342699999999997</v>
      </c>
      <c r="H66" s="192">
        <f>SUM(H64:H65)</f>
        <v>7.1859666666666673</v>
      </c>
      <c r="I66" s="192">
        <f>SUM(I64:I65)</f>
        <v>15.120236666666667</v>
      </c>
    </row>
    <row r="68" spans="6:9" x14ac:dyDescent="0.3">
      <c r="H68" s="250"/>
    </row>
    <row r="69" spans="6:9" x14ac:dyDescent="0.3">
      <c r="H69" s="250"/>
    </row>
    <row r="96" spans="6:15" x14ac:dyDescent="0.3"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6:8" x14ac:dyDescent="0.3">
      <c r="F97" s="66"/>
      <c r="G97" s="67"/>
      <c r="H97" s="67"/>
    </row>
    <row r="98" spans="6:8" x14ac:dyDescent="0.3">
      <c r="F98" s="66"/>
      <c r="G98" s="67"/>
      <c r="H98" s="67"/>
    </row>
    <row r="99" spans="6:8" x14ac:dyDescent="0.3">
      <c r="F99" s="66"/>
      <c r="G99" s="67"/>
      <c r="H99" s="67"/>
    </row>
    <row r="100" spans="6:8" x14ac:dyDescent="0.3">
      <c r="F100" s="66"/>
      <c r="G100" s="67"/>
      <c r="H100" s="67"/>
    </row>
    <row r="101" spans="6:8" x14ac:dyDescent="0.3">
      <c r="F101" s="66"/>
      <c r="G101" s="67"/>
      <c r="H101" s="67"/>
    </row>
    <row r="102" spans="6:8" x14ac:dyDescent="0.3">
      <c r="F102" s="66"/>
      <c r="G102" s="67"/>
      <c r="H102" s="67"/>
    </row>
    <row r="103" spans="6:8" x14ac:dyDescent="0.3">
      <c r="F103" s="66"/>
      <c r="G103" s="67"/>
      <c r="H103" s="67"/>
    </row>
    <row r="104" spans="6:8" x14ac:dyDescent="0.3">
      <c r="F104" s="66"/>
      <c r="G104" s="67"/>
      <c r="H104" s="67"/>
    </row>
    <row r="105" spans="6:8" x14ac:dyDescent="0.3">
      <c r="F105" s="66"/>
      <c r="G105" s="67"/>
      <c r="H105" s="67"/>
    </row>
    <row r="106" spans="6:8" x14ac:dyDescent="0.3">
      <c r="F106" s="66"/>
      <c r="G106" s="67"/>
      <c r="H106" s="67"/>
    </row>
    <row r="107" spans="6:8" x14ac:dyDescent="0.3">
      <c r="F107" s="66"/>
      <c r="G107" s="67"/>
      <c r="H107" s="67"/>
    </row>
    <row r="108" spans="6:8" x14ac:dyDescent="0.3">
      <c r="F108" s="66"/>
      <c r="G108" s="67"/>
      <c r="H108" s="67"/>
    </row>
    <row r="109" spans="6:8" x14ac:dyDescent="0.3">
      <c r="F109" s="66"/>
      <c r="G109" s="67"/>
      <c r="H109" s="67"/>
    </row>
    <row r="110" spans="6:8" x14ac:dyDescent="0.3">
      <c r="F110" s="66"/>
      <c r="G110" s="67"/>
      <c r="H110" s="67"/>
    </row>
    <row r="111" spans="6:8" x14ac:dyDescent="0.3">
      <c r="F111" s="66"/>
      <c r="G111" s="67"/>
      <c r="H111" s="67"/>
    </row>
    <row r="112" spans="6:8" x14ac:dyDescent="0.3">
      <c r="F112" s="66"/>
      <c r="G112" s="67"/>
      <c r="H112" s="67"/>
    </row>
    <row r="113" spans="6:8" x14ac:dyDescent="0.3">
      <c r="F113" s="66"/>
      <c r="G113" s="67"/>
      <c r="H113" s="67"/>
    </row>
    <row r="114" spans="6:8" x14ac:dyDescent="0.3">
      <c r="F114" s="66"/>
      <c r="G114" s="67"/>
      <c r="H114" s="67"/>
    </row>
    <row r="115" spans="6:8" x14ac:dyDescent="0.3">
      <c r="F115" s="66"/>
      <c r="G115" s="67"/>
      <c r="H115" s="67"/>
    </row>
    <row r="116" spans="6:8" x14ac:dyDescent="0.3">
      <c r="F116" s="66"/>
      <c r="G116" s="67"/>
      <c r="H116" s="67"/>
    </row>
    <row r="117" spans="6:8" x14ac:dyDescent="0.3">
      <c r="F117" s="66"/>
      <c r="G117" s="67"/>
      <c r="H117" s="67"/>
    </row>
    <row r="118" spans="6:8" x14ac:dyDescent="0.3">
      <c r="F118" s="66"/>
      <c r="G118" s="67"/>
      <c r="H118" s="67"/>
    </row>
  </sheetData>
  <mergeCells count="10">
    <mergeCell ref="R5:R26"/>
    <mergeCell ref="G17:I17"/>
    <mergeCell ref="G36:I36"/>
    <mergeCell ref="G35:I35"/>
    <mergeCell ref="G10:H10"/>
    <mergeCell ref="G40:I40"/>
    <mergeCell ref="G43:I43"/>
    <mergeCell ref="G54:I54"/>
    <mergeCell ref="G55:I55"/>
    <mergeCell ref="G59:I59"/>
  </mergeCells>
  <conditionalFormatting sqref="T5:T2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:U2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:V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:X2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:Y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:W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6CBD-1C75-4948-A1DB-CDE6991D618C}">
  <dimension ref="A2:J49"/>
  <sheetViews>
    <sheetView showGridLines="0" topLeftCell="A36" workbookViewId="0">
      <selection activeCell="E38" sqref="E38"/>
    </sheetView>
  </sheetViews>
  <sheetFormatPr defaultRowHeight="14.4" outlineLevelRow="1" outlineLevelCol="1" x14ac:dyDescent="0.3"/>
  <cols>
    <col min="2" max="2" width="40.6640625" customWidth="1"/>
    <col min="3" max="3" width="0" hidden="1" customWidth="1" outlineLevel="1"/>
    <col min="4" max="4" width="13.109375" hidden="1" customWidth="1" outlineLevel="1"/>
    <col min="5" max="5" width="14" bestFit="1" customWidth="1" collapsed="1"/>
    <col min="6" max="6" width="13.109375" bestFit="1" customWidth="1"/>
    <col min="7" max="7" width="14.21875" bestFit="1" customWidth="1"/>
    <col min="8" max="10" width="14.109375" bestFit="1" customWidth="1"/>
  </cols>
  <sheetData>
    <row r="2" spans="2:10" x14ac:dyDescent="0.3">
      <c r="B2" s="4" t="s">
        <v>93</v>
      </c>
    </row>
    <row r="3" spans="2:10" x14ac:dyDescent="0.3">
      <c r="B3" s="4" t="s">
        <v>110</v>
      </c>
    </row>
    <row r="5" spans="2:10" s="4" customFormat="1" ht="15" thickBot="1" x14ac:dyDescent="0.35">
      <c r="B5" s="253" t="s">
        <v>94</v>
      </c>
      <c r="C5" s="251" t="s">
        <v>108</v>
      </c>
      <c r="D5" s="251"/>
      <c r="E5" s="252" t="s">
        <v>101</v>
      </c>
      <c r="F5" s="252" t="s">
        <v>102</v>
      </c>
      <c r="G5" s="252" t="s">
        <v>103</v>
      </c>
      <c r="H5" s="252" t="s">
        <v>104</v>
      </c>
      <c r="I5" s="252" t="s">
        <v>105</v>
      </c>
      <c r="J5" s="252" t="s">
        <v>106</v>
      </c>
    </row>
    <row r="6" spans="2:10" x14ac:dyDescent="0.3">
      <c r="B6" s="6" t="s">
        <v>98</v>
      </c>
      <c r="C6" s="6">
        <v>1</v>
      </c>
      <c r="D6" s="291">
        <f>Premissas!D19*C6</f>
        <v>400000</v>
      </c>
      <c r="E6" s="291"/>
      <c r="F6" s="291">
        <f>D6</f>
        <v>400000</v>
      </c>
      <c r="G6" s="291"/>
      <c r="H6" s="291"/>
      <c r="I6" s="291"/>
      <c r="J6" s="291"/>
    </row>
    <row r="7" spans="2:10" x14ac:dyDescent="0.3">
      <c r="B7" s="9" t="s">
        <v>99</v>
      </c>
      <c r="C7" s="9">
        <v>1</v>
      </c>
      <c r="D7" s="292">
        <f>C7*Premissas!D47</f>
        <v>435000</v>
      </c>
      <c r="E7" s="292"/>
      <c r="F7" s="292">
        <f>D7</f>
        <v>435000</v>
      </c>
      <c r="G7" s="292"/>
      <c r="H7" s="292"/>
      <c r="I7" s="292"/>
      <c r="J7" s="292"/>
    </row>
    <row r="8" spans="2:10" x14ac:dyDescent="0.3">
      <c r="B8" s="9" t="s">
        <v>100</v>
      </c>
      <c r="C8" s="9">
        <v>3.6</v>
      </c>
      <c r="D8" s="292">
        <f>C8*Premissas!D26*12</f>
        <v>271080</v>
      </c>
      <c r="E8" s="292"/>
      <c r="F8" s="292">
        <f>D8</f>
        <v>271080</v>
      </c>
      <c r="G8" s="292"/>
      <c r="H8" s="292"/>
      <c r="I8" s="292"/>
      <c r="J8" s="292"/>
    </row>
    <row r="9" spans="2:10" ht="15" thickBot="1" x14ac:dyDescent="0.35">
      <c r="B9" s="80" t="s">
        <v>109</v>
      </c>
      <c r="C9" s="293">
        <v>0.05</v>
      </c>
      <c r="D9" s="294">
        <f>Premissas!H66*C9*Premissas!C3</f>
        <v>718596.66666666674</v>
      </c>
      <c r="E9" s="294"/>
      <c r="F9" s="294">
        <f>$D$9</f>
        <v>718596.66666666674</v>
      </c>
      <c r="G9" s="294">
        <f t="shared" ref="G9:J9" si="0">$D$9</f>
        <v>718596.66666666674</v>
      </c>
      <c r="H9" s="294">
        <f t="shared" si="0"/>
        <v>718596.66666666674</v>
      </c>
      <c r="I9" s="294">
        <f t="shared" si="0"/>
        <v>718596.66666666674</v>
      </c>
      <c r="J9" s="294">
        <f t="shared" si="0"/>
        <v>718596.66666666674</v>
      </c>
    </row>
    <row r="10" spans="2:10" s="4" customFormat="1" ht="15" thickTop="1" x14ac:dyDescent="0.3">
      <c r="B10" s="295" t="s">
        <v>111</v>
      </c>
      <c r="C10" s="296"/>
      <c r="D10" s="297"/>
      <c r="E10" s="297">
        <f>SUM(E6:E9)</f>
        <v>0</v>
      </c>
      <c r="F10" s="297">
        <f>SUM(F6:F9)</f>
        <v>1824676.6666666667</v>
      </c>
      <c r="G10" s="297">
        <f t="shared" ref="G10:J10" si="1">SUM(G6:G9)</f>
        <v>718596.66666666674</v>
      </c>
      <c r="H10" s="297">
        <f t="shared" si="1"/>
        <v>718596.66666666674</v>
      </c>
      <c r="I10" s="297">
        <f t="shared" si="1"/>
        <v>718596.66666666674</v>
      </c>
      <c r="J10" s="297">
        <f t="shared" si="1"/>
        <v>718596.66666666674</v>
      </c>
    </row>
    <row r="11" spans="2:10" s="4" customFormat="1" x14ac:dyDescent="0.3">
      <c r="B11" s="298" t="s">
        <v>112</v>
      </c>
      <c r="C11" s="298"/>
      <c r="D11" s="298"/>
      <c r="E11" s="299">
        <f>SUM(E$10:$E10)</f>
        <v>0</v>
      </c>
      <c r="F11" s="299">
        <f>SUM($E$10:F10)</f>
        <v>1824676.6666666667</v>
      </c>
      <c r="G11" s="299">
        <f>SUM($E$10:G10)</f>
        <v>2543273.3333333335</v>
      </c>
      <c r="H11" s="299">
        <f>SUM($E$10:H10)</f>
        <v>3261870</v>
      </c>
      <c r="I11" s="299">
        <f>SUM($E$10:I10)</f>
        <v>3980466.666666667</v>
      </c>
      <c r="J11" s="299">
        <f>SUM($E$10:J10)</f>
        <v>4699063.333333334</v>
      </c>
    </row>
    <row r="12" spans="2:10" x14ac:dyDescent="0.3">
      <c r="E12" s="249"/>
      <c r="F12" s="249"/>
      <c r="G12" s="249"/>
      <c r="H12" s="249"/>
      <c r="I12" s="249"/>
      <c r="J12" s="249"/>
    </row>
    <row r="13" spans="2:10" x14ac:dyDescent="0.3">
      <c r="E13" s="249"/>
      <c r="F13" s="249"/>
      <c r="G13" s="249"/>
      <c r="H13" s="249"/>
      <c r="I13" s="249"/>
      <c r="J13" s="249"/>
    </row>
    <row r="14" spans="2:10" s="4" customFormat="1" ht="15" thickBot="1" x14ac:dyDescent="0.35">
      <c r="B14" s="255" t="s">
        <v>95</v>
      </c>
      <c r="C14" s="254" t="s">
        <v>108</v>
      </c>
      <c r="D14" s="254"/>
      <c r="E14" s="252" t="s">
        <v>101</v>
      </c>
      <c r="F14" s="252" t="s">
        <v>102</v>
      </c>
      <c r="G14" s="252" t="s">
        <v>103</v>
      </c>
      <c r="H14" s="252" t="s">
        <v>104</v>
      </c>
      <c r="I14" s="252" t="s">
        <v>105</v>
      </c>
      <c r="J14" s="252" t="s">
        <v>106</v>
      </c>
    </row>
    <row r="15" spans="2:10" x14ac:dyDescent="0.3">
      <c r="B15" s="6" t="s">
        <v>96</v>
      </c>
      <c r="C15" s="6"/>
      <c r="D15" s="6"/>
      <c r="E15" s="291">
        <v>-500000</v>
      </c>
      <c r="F15" s="291"/>
      <c r="G15" s="291"/>
      <c r="H15" s="291"/>
      <c r="I15" s="291"/>
      <c r="J15" s="291"/>
    </row>
    <row r="16" spans="2:10" ht="15" thickBot="1" x14ac:dyDescent="0.35">
      <c r="B16" s="80" t="s">
        <v>107</v>
      </c>
      <c r="C16" s="80"/>
      <c r="D16" s="80"/>
      <c r="E16" s="294"/>
      <c r="F16" s="294">
        <f>$E$15*0.2</f>
        <v>-100000</v>
      </c>
      <c r="G16" s="294">
        <f>$E$15*0.2</f>
        <v>-100000</v>
      </c>
      <c r="H16" s="294">
        <f>$E$15*0.2</f>
        <v>-100000</v>
      </c>
      <c r="I16" s="294">
        <f>$E$15*0.2</f>
        <v>-100000</v>
      </c>
      <c r="J16" s="294">
        <f>$E$15*0.2</f>
        <v>-100000</v>
      </c>
    </row>
    <row r="17" spans="1:10" ht="15" thickTop="1" x14ac:dyDescent="0.3">
      <c r="B17" s="295" t="s">
        <v>111</v>
      </c>
      <c r="C17" s="296"/>
      <c r="D17" s="297"/>
      <c r="E17" s="297">
        <f>SUM(E12:E16)</f>
        <v>-500000</v>
      </c>
      <c r="F17" s="297">
        <f>SUM(F12:F16)</f>
        <v>-100000</v>
      </c>
      <c r="G17" s="297">
        <f t="shared" ref="G17" si="2">SUM(G12:G16)</f>
        <v>-100000</v>
      </c>
      <c r="H17" s="297">
        <f t="shared" ref="H17" si="3">SUM(H12:H16)</f>
        <v>-100000</v>
      </c>
      <c r="I17" s="297">
        <f t="shared" ref="I17" si="4">SUM(I12:I16)</f>
        <v>-100000</v>
      </c>
      <c r="J17" s="297">
        <f t="shared" ref="J17" si="5">SUM(J12:J16)</f>
        <v>-100000</v>
      </c>
    </row>
    <row r="18" spans="1:10" x14ac:dyDescent="0.3">
      <c r="B18" s="298" t="s">
        <v>112</v>
      </c>
      <c r="C18" s="298"/>
      <c r="D18" s="298"/>
      <c r="E18" s="299">
        <f>SUM($E$17:E17)</f>
        <v>-500000</v>
      </c>
      <c r="F18" s="299">
        <f>SUM($E$17:F17)</f>
        <v>-600000</v>
      </c>
      <c r="G18" s="299">
        <f>SUM($E$17:G17)</f>
        <v>-700000</v>
      </c>
      <c r="H18" s="299">
        <f>SUM($E$17:H17)</f>
        <v>-800000</v>
      </c>
      <c r="I18" s="299">
        <f>SUM($E$17:I17)</f>
        <v>-900000</v>
      </c>
      <c r="J18" s="299">
        <f>SUM($E$17:J17)</f>
        <v>-1000000</v>
      </c>
    </row>
    <row r="19" spans="1:10" x14ac:dyDescent="0.3">
      <c r="E19" s="249"/>
      <c r="F19" s="249"/>
      <c r="G19" s="249"/>
      <c r="H19" s="249"/>
      <c r="I19" s="249"/>
      <c r="J19" s="249"/>
    </row>
    <row r="20" spans="1:10" ht="15" thickBot="1" x14ac:dyDescent="0.35">
      <c r="E20" s="249"/>
      <c r="F20" s="249"/>
      <c r="G20" s="249"/>
      <c r="H20" s="249"/>
      <c r="I20" s="249"/>
      <c r="J20" s="249"/>
    </row>
    <row r="21" spans="1:10" s="4" customFormat="1" ht="15" thickTop="1" x14ac:dyDescent="0.3">
      <c r="A21"/>
      <c r="B21" s="300" t="s">
        <v>113</v>
      </c>
      <c r="C21" s="300"/>
      <c r="D21" s="300"/>
      <c r="E21" s="301">
        <f>SUM(E10,E17)</f>
        <v>-500000</v>
      </c>
      <c r="F21" s="301">
        <f t="shared" ref="F21:J21" si="6">SUM(F10,F17)</f>
        <v>1724676.6666666667</v>
      </c>
      <c r="G21" s="301">
        <f t="shared" si="6"/>
        <v>618596.66666666674</v>
      </c>
      <c r="H21" s="301">
        <f t="shared" si="6"/>
        <v>618596.66666666674</v>
      </c>
      <c r="I21" s="301">
        <f t="shared" si="6"/>
        <v>618596.66666666674</v>
      </c>
      <c r="J21" s="301">
        <f t="shared" si="6"/>
        <v>618596.66666666674</v>
      </c>
    </row>
    <row r="22" spans="1:10" s="4" customFormat="1" x14ac:dyDescent="0.3">
      <c r="A22"/>
      <c r="B22" s="302" t="s">
        <v>114</v>
      </c>
      <c r="C22" s="302"/>
      <c r="D22" s="302"/>
      <c r="E22" s="303">
        <f>SUM(E11,E18)</f>
        <v>-500000</v>
      </c>
      <c r="F22" s="303">
        <f t="shared" ref="F22:J22" si="7">SUM(F11,F18)</f>
        <v>1224676.6666666667</v>
      </c>
      <c r="G22" s="303">
        <f t="shared" si="7"/>
        <v>1843273.3333333335</v>
      </c>
      <c r="H22" s="303">
        <f t="shared" si="7"/>
        <v>2461870</v>
      </c>
      <c r="I22" s="303">
        <f t="shared" si="7"/>
        <v>3080466.666666667</v>
      </c>
      <c r="J22" s="303">
        <f t="shared" si="7"/>
        <v>3699063.333333334</v>
      </c>
    </row>
    <row r="23" spans="1:10" s="4" customFormat="1" hidden="1" outlineLevel="1" x14ac:dyDescent="0.3">
      <c r="A23"/>
      <c r="B23" s="285"/>
      <c r="C23" s="285"/>
      <c r="D23" s="285"/>
      <c r="E23" s="289"/>
      <c r="F23" s="289">
        <f t="shared" ref="F23:J23" si="8">IF(AND(F22&gt;0,E22&lt;0),1,0)</f>
        <v>1</v>
      </c>
      <c r="G23" s="289">
        <f t="shared" si="8"/>
        <v>0</v>
      </c>
      <c r="H23" s="289">
        <f t="shared" si="8"/>
        <v>0</v>
      </c>
      <c r="I23" s="289">
        <f t="shared" si="8"/>
        <v>0</v>
      </c>
      <c r="J23" s="289">
        <f t="shared" si="8"/>
        <v>0</v>
      </c>
    </row>
    <row r="24" spans="1:10" s="4" customFormat="1" hidden="1" outlineLevel="1" x14ac:dyDescent="0.3">
      <c r="A24"/>
      <c r="B24" s="285"/>
      <c r="C24" s="285"/>
      <c r="D24" s="285"/>
      <c r="E24" s="289"/>
      <c r="F24" s="289">
        <v>1</v>
      </c>
      <c r="G24" s="289">
        <v>2</v>
      </c>
      <c r="H24" s="289">
        <v>3</v>
      </c>
      <c r="I24" s="289">
        <v>4</v>
      </c>
      <c r="J24" s="289">
        <v>5</v>
      </c>
    </row>
    <row r="25" spans="1:10" s="4" customFormat="1" hidden="1" outlineLevel="1" x14ac:dyDescent="0.3">
      <c r="A25"/>
      <c r="B25" s="285"/>
      <c r="C25" s="285"/>
      <c r="D25" s="285"/>
      <c r="E25" s="290"/>
      <c r="F25" s="290" t="str">
        <f>IF(F24&lt;&gt;F23,"","Viab")</f>
        <v>Viab</v>
      </c>
      <c r="G25" s="290" t="str">
        <f t="shared" ref="G25:J25" si="9">IF(G24&lt;&gt;G23,"","Viab")</f>
        <v/>
      </c>
      <c r="H25" s="290" t="str">
        <f t="shared" si="9"/>
        <v/>
      </c>
      <c r="I25" s="290" t="str">
        <f t="shared" si="9"/>
        <v/>
      </c>
      <c r="J25" s="290" t="str">
        <f t="shared" si="9"/>
        <v/>
      </c>
    </row>
    <row r="26" spans="1:10" collapsed="1" x14ac:dyDescent="0.3">
      <c r="E26" s="249"/>
      <c r="F26" s="249"/>
      <c r="G26" s="249"/>
      <c r="H26" s="249"/>
      <c r="I26" s="249"/>
      <c r="J26" s="249"/>
    </row>
    <row r="27" spans="1:10" x14ac:dyDescent="0.3">
      <c r="E27" s="249"/>
      <c r="F27" s="249"/>
      <c r="G27" s="249"/>
      <c r="H27" s="249"/>
      <c r="I27" s="249"/>
      <c r="J27" s="249"/>
    </row>
    <row r="28" spans="1:10" x14ac:dyDescent="0.3">
      <c r="B28" s="256" t="s">
        <v>115</v>
      </c>
      <c r="C28" s="257"/>
      <c r="D28" s="257"/>
      <c r="E28" s="258"/>
      <c r="F28" s="259">
        <f>NPV(F33,F21:J21)+E21</f>
        <v>2593938.0577677018</v>
      </c>
      <c r="G28" s="260"/>
      <c r="H28" s="249"/>
      <c r="I28" s="286"/>
      <c r="J28" s="249"/>
    </row>
    <row r="29" spans="1:10" x14ac:dyDescent="0.3">
      <c r="B29" s="256" t="s">
        <v>116</v>
      </c>
      <c r="C29" s="257"/>
      <c r="D29" s="257"/>
      <c r="E29" s="261"/>
      <c r="F29" s="262">
        <f>IFERROR(IRR(E21:J21),0)</f>
        <v>2.8774176459204432</v>
      </c>
      <c r="G29" s="263"/>
      <c r="H29" s="249"/>
      <c r="I29" s="249"/>
      <c r="J29" s="249"/>
    </row>
    <row r="30" spans="1:10" x14ac:dyDescent="0.3">
      <c r="B30" s="256" t="s">
        <v>117</v>
      </c>
      <c r="C30" s="257"/>
      <c r="D30" s="257"/>
      <c r="E30" s="261"/>
      <c r="F30" s="264" t="str">
        <f>CONCATENATE(TEXT(G37,"#0,0")," meses")</f>
        <v>3,5 meses</v>
      </c>
      <c r="G30" s="265"/>
      <c r="H30" s="249"/>
      <c r="I30" s="249"/>
      <c r="J30" s="249"/>
    </row>
    <row r="31" spans="1:10" x14ac:dyDescent="0.3">
      <c r="B31" s="266" t="s">
        <v>118</v>
      </c>
      <c r="C31" s="267"/>
      <c r="D31" s="267"/>
      <c r="E31" s="268"/>
      <c r="F31" s="268"/>
      <c r="G31" s="268"/>
    </row>
    <row r="32" spans="1:10" x14ac:dyDescent="0.3">
      <c r="B32" s="269" t="s">
        <v>119</v>
      </c>
      <c r="C32" s="270"/>
      <c r="D32" s="270"/>
      <c r="E32" s="269"/>
      <c r="F32" s="271"/>
      <c r="G32" s="271"/>
    </row>
    <row r="33" spans="1:10" x14ac:dyDescent="0.3">
      <c r="B33" s="272" t="s">
        <v>120</v>
      </c>
      <c r="C33" s="273"/>
      <c r="D33" s="273"/>
      <c r="E33" s="274"/>
      <c r="F33" s="275">
        <v>0.14000000000000001</v>
      </c>
      <c r="G33" s="276" t="s">
        <v>121</v>
      </c>
    </row>
    <row r="34" spans="1:10" x14ac:dyDescent="0.3">
      <c r="B34" s="277"/>
      <c r="C34" s="278"/>
      <c r="D34" s="278"/>
      <c r="E34" s="277"/>
      <c r="F34" s="277"/>
      <c r="G34" s="277"/>
    </row>
    <row r="35" spans="1:10" x14ac:dyDescent="0.3">
      <c r="B35" s="277"/>
      <c r="C35" s="278"/>
      <c r="D35" s="278"/>
      <c r="E35" s="277"/>
      <c r="F35" s="287" t="s">
        <v>122</v>
      </c>
      <c r="G35" s="288"/>
    </row>
    <row r="36" spans="1:10" x14ac:dyDescent="0.3">
      <c r="B36" s="277"/>
      <c r="C36" s="278"/>
      <c r="D36" s="278"/>
      <c r="E36" s="277"/>
      <c r="F36" s="279" t="s">
        <v>123</v>
      </c>
      <c r="G36" s="280" t="s">
        <v>117</v>
      </c>
    </row>
    <row r="37" spans="1:10" x14ac:dyDescent="0.3">
      <c r="B37" s="277"/>
      <c r="C37" s="278"/>
      <c r="D37" s="278"/>
      <c r="E37" s="277"/>
      <c r="F37" s="284">
        <f>(COUNTA(E22:J22)-COUNTIFS($E$22:$J$22,"&gt;="&amp;0))*12</f>
        <v>12</v>
      </c>
      <c r="G37" s="281">
        <f>-F37*IFERROR((_xlfn.XLOOKUP(G38,$E$25:$J$25,$E$22:$J$22,"--",0,1)-_xlfn.XLOOKUP(G38,$E$25:$J$25,$E$21:$J$21))/_xlfn.XLOOKUP(G38,$E$25:$J$25,$E$21:$J$21,"--",0,1),0)</f>
        <v>3.4789129556651197</v>
      </c>
    </row>
    <row r="38" spans="1:10" x14ac:dyDescent="0.3">
      <c r="B38" s="277"/>
      <c r="C38" s="278"/>
      <c r="D38" s="278"/>
      <c r="E38" s="282"/>
      <c r="F38" s="283"/>
      <c r="G38" s="93" t="s">
        <v>124</v>
      </c>
    </row>
    <row r="41" spans="1:10" s="21" customFormat="1" x14ac:dyDescent="0.3">
      <c r="A41" s="252"/>
      <c r="B41" s="252"/>
      <c r="C41" s="252"/>
      <c r="D41" s="252"/>
      <c r="E41" s="252" t="str">
        <f>E14</f>
        <v>Investimento</v>
      </c>
      <c r="F41" s="252" t="str">
        <f t="shared" ref="F41:J41" si="10">F14</f>
        <v>Ano 1</v>
      </c>
      <c r="G41" s="252" t="str">
        <f t="shared" si="10"/>
        <v>Ano 2</v>
      </c>
      <c r="H41" s="252" t="str">
        <f t="shared" si="10"/>
        <v>Ano 3</v>
      </c>
      <c r="I41" s="252" t="str">
        <f t="shared" si="10"/>
        <v>Ano 4</v>
      </c>
      <c r="J41" s="252" t="str">
        <f t="shared" si="10"/>
        <v>Ano 5</v>
      </c>
    </row>
    <row r="42" spans="1:10" x14ac:dyDescent="0.3">
      <c r="A42" s="305" t="s">
        <v>125</v>
      </c>
      <c r="B42" s="306" t="s">
        <v>94</v>
      </c>
      <c r="C42" s="306"/>
      <c r="D42" s="306"/>
      <c r="E42" s="307">
        <f>E10</f>
        <v>0</v>
      </c>
      <c r="F42" s="307">
        <f t="shared" ref="F42:J42" si="11">F10</f>
        <v>1824676.6666666667</v>
      </c>
      <c r="G42" s="307">
        <f t="shared" si="11"/>
        <v>718596.66666666674</v>
      </c>
      <c r="H42" s="307">
        <f t="shared" si="11"/>
        <v>718596.66666666674</v>
      </c>
      <c r="I42" s="307">
        <f t="shared" si="11"/>
        <v>718596.66666666674</v>
      </c>
      <c r="J42" s="307">
        <f t="shared" si="11"/>
        <v>718596.66666666674</v>
      </c>
    </row>
    <row r="43" spans="1:10" x14ac:dyDescent="0.3">
      <c r="A43" s="305"/>
      <c r="B43" s="308" t="s">
        <v>95</v>
      </c>
      <c r="C43" s="308"/>
      <c r="D43" s="308"/>
      <c r="E43" s="309">
        <f>E17</f>
        <v>-500000</v>
      </c>
      <c r="F43" s="309">
        <f t="shared" ref="F43:J43" si="12">F17</f>
        <v>-100000</v>
      </c>
      <c r="G43" s="309">
        <f t="shared" si="12"/>
        <v>-100000</v>
      </c>
      <c r="H43" s="309">
        <f t="shared" si="12"/>
        <v>-100000</v>
      </c>
      <c r="I43" s="309">
        <f t="shared" si="12"/>
        <v>-100000</v>
      </c>
      <c r="J43" s="309">
        <f t="shared" si="12"/>
        <v>-100000</v>
      </c>
    </row>
    <row r="44" spans="1:10" x14ac:dyDescent="0.3">
      <c r="A44" s="305"/>
      <c r="B44" t="s">
        <v>113</v>
      </c>
      <c r="E44" s="304">
        <f>E21</f>
        <v>-500000</v>
      </c>
      <c r="F44" s="304">
        <f t="shared" ref="F44:J44" si="13">F21</f>
        <v>1724676.6666666667</v>
      </c>
      <c r="G44" s="304">
        <f t="shared" si="13"/>
        <v>618596.66666666674</v>
      </c>
      <c r="H44" s="304">
        <f t="shared" si="13"/>
        <v>618596.66666666674</v>
      </c>
      <c r="I44" s="304">
        <f t="shared" si="13"/>
        <v>618596.66666666674</v>
      </c>
      <c r="J44" s="304">
        <f t="shared" si="13"/>
        <v>618596.66666666674</v>
      </c>
    </row>
    <row r="46" spans="1:10" x14ac:dyDescent="0.3">
      <c r="A46" s="252"/>
      <c r="B46" s="252"/>
      <c r="C46" s="252"/>
      <c r="D46" s="252"/>
      <c r="E46" s="252" t="str">
        <f>E41</f>
        <v>Investimento</v>
      </c>
      <c r="F46" s="252" t="str">
        <f t="shared" ref="F46:J46" si="14">F41</f>
        <v>Ano 1</v>
      </c>
      <c r="G46" s="252" t="str">
        <f t="shared" si="14"/>
        <v>Ano 2</v>
      </c>
      <c r="H46" s="252" t="str">
        <f t="shared" si="14"/>
        <v>Ano 3</v>
      </c>
      <c r="I46" s="252" t="str">
        <f t="shared" si="14"/>
        <v>Ano 4</v>
      </c>
      <c r="J46" s="252" t="str">
        <f t="shared" si="14"/>
        <v>Ano 5</v>
      </c>
    </row>
    <row r="47" spans="1:10" x14ac:dyDescent="0.3">
      <c r="A47" s="305" t="s">
        <v>126</v>
      </c>
      <c r="B47" s="306" t="s">
        <v>94</v>
      </c>
      <c r="C47" s="306"/>
      <c r="D47" s="306"/>
      <c r="E47" s="307">
        <f>E11</f>
        <v>0</v>
      </c>
      <c r="F47" s="307">
        <f t="shared" ref="F47:J47" si="15">F11</f>
        <v>1824676.6666666667</v>
      </c>
      <c r="G47" s="307">
        <f t="shared" si="15"/>
        <v>2543273.3333333335</v>
      </c>
      <c r="H47" s="307">
        <f t="shared" si="15"/>
        <v>3261870</v>
      </c>
      <c r="I47" s="307">
        <f t="shared" si="15"/>
        <v>3980466.666666667</v>
      </c>
      <c r="J47" s="307">
        <f t="shared" si="15"/>
        <v>4699063.333333334</v>
      </c>
    </row>
    <row r="48" spans="1:10" x14ac:dyDescent="0.3">
      <c r="A48" s="305"/>
      <c r="B48" s="308" t="s">
        <v>95</v>
      </c>
      <c r="C48" s="308"/>
      <c r="D48" s="308"/>
      <c r="E48" s="309">
        <f>E18</f>
        <v>-500000</v>
      </c>
      <c r="F48" s="309">
        <f t="shared" ref="F48:J48" si="16">F18</f>
        <v>-600000</v>
      </c>
      <c r="G48" s="309">
        <f t="shared" si="16"/>
        <v>-700000</v>
      </c>
      <c r="H48" s="309">
        <f t="shared" si="16"/>
        <v>-800000</v>
      </c>
      <c r="I48" s="309">
        <f t="shared" si="16"/>
        <v>-900000</v>
      </c>
      <c r="J48" s="309">
        <f t="shared" si="16"/>
        <v>-1000000</v>
      </c>
    </row>
    <row r="49" spans="1:10" x14ac:dyDescent="0.3">
      <c r="A49" s="305"/>
      <c r="B49" t="s">
        <v>113</v>
      </c>
      <c r="E49" s="304">
        <f>E22</f>
        <v>-500000</v>
      </c>
      <c r="F49" s="304">
        <f t="shared" ref="F49:J49" si="17">F22</f>
        <v>1224676.6666666667</v>
      </c>
      <c r="G49" s="304">
        <f t="shared" si="17"/>
        <v>1843273.3333333335</v>
      </c>
      <c r="H49" s="304">
        <f t="shared" si="17"/>
        <v>2461870</v>
      </c>
      <c r="I49" s="304">
        <f t="shared" si="17"/>
        <v>3080466.666666667</v>
      </c>
      <c r="J49" s="304">
        <f t="shared" si="17"/>
        <v>3699063.333333334</v>
      </c>
    </row>
  </sheetData>
  <mergeCells count="8">
    <mergeCell ref="F35:G35"/>
    <mergeCell ref="A42:A44"/>
    <mergeCell ref="A47:A49"/>
    <mergeCell ref="C5:D5"/>
    <mergeCell ref="C14:D14"/>
    <mergeCell ref="F28:G28"/>
    <mergeCell ref="F29:G29"/>
    <mergeCell ref="F30:G30"/>
  </mergeCells>
  <phoneticPr fontId="10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Premissas</vt:lpstr>
      <vt:lpstr>Viabilidade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Dicatti</dc:creator>
  <cp:lastModifiedBy>André Dicatti</cp:lastModifiedBy>
  <dcterms:created xsi:type="dcterms:W3CDTF">2026-07-31T16:01:20Z</dcterms:created>
  <dcterms:modified xsi:type="dcterms:W3CDTF">2026-08-11T21:25:13Z</dcterms:modified>
</cp:coreProperties>
</file>